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SHBOARD" sheetId="1" state="visible" r:id="rId3"/>
    <sheet name="LOOKUP" sheetId="2" state="hidden" r:id="rId4"/>
    <sheet name="TENANT FORM" sheetId="3" state="visible" r:id="rId5"/>
    <sheet name="TENANTS" sheetId="4" state="visible" r:id="rId6"/>
    <sheet name="ROOMS" sheetId="5" state="visible" r:id="rId7"/>
    <sheet name="AGREEMENT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<sst xmlns="http://schemas.openxmlformats.org/spreadsheetml/2006/main" count="242" uniqueCount="174">
  <si>
    <t xml:space="preserve">TENANT MANAGEMENT DASHBOARD</t>
  </si>
  <si>
    <t xml:space="preserve">  KEY PERFORMANCE INDICATORS</t>
  </si>
  <si>
    <t xml:space="preserve">TOTAL UNITS</t>
  </si>
  <si>
    <t xml:space="preserve">ACTIVE LEASES</t>
  </si>
  <si>
    <t xml:space="preserve">EXPIRING &lt;= 30 DAYS</t>
  </si>
  <si>
    <t xml:space="preserve">EXPIRED</t>
  </si>
  <si>
    <t xml:space="preserve">TOTAL MONTHLY RENT</t>
  </si>
  <si>
    <t xml:space="preserve">TOTAL ANNUAL RENT</t>
  </si>
  <si>
    <t xml:space="preserve">OCCUPANCY RATE</t>
  </si>
  <si>
    <t xml:space="preserve">Registered tenants</t>
  </si>
  <si>
    <t xml:space="preserve">Currently running</t>
  </si>
  <si>
    <t xml:space="preserve">Urgent renewals needed</t>
  </si>
  <si>
    <t xml:space="preserve">Requires action</t>
  </si>
  <si>
    <t xml:space="preserve">Active leases (GHS)</t>
  </si>
  <si>
    <t xml:space="preserve">Projected full year (GHS)</t>
  </si>
  <si>
    <t xml:space="preserve">Active / Total registered</t>
  </si>
  <si>
    <t xml:space="preserve">  EXPIRY WATCH  -  Leases expiring within 90 days</t>
  </si>
  <si>
    <t xml:space="preserve">Tenant ID</t>
  </si>
  <si>
    <t xml:space="preserve">Tenant Name</t>
  </si>
  <si>
    <t xml:space="preserve">Unit No.</t>
  </si>
  <si>
    <t xml:space="preserve">Lease End</t>
  </si>
  <si>
    <t xml:space="preserve">Days Left</t>
  </si>
  <si>
    <t xml:space="preserve">Status</t>
  </si>
  <si>
    <t xml:space="preserve">  PORTFOLIO OVERVIEW  -  Lease status breakdown</t>
  </si>
  <si>
    <t xml:space="preserve">Active</t>
  </si>
  <si>
    <t xml:space="preserve">Active - Review</t>
  </si>
  <si>
    <t xml:space="preserve">Expiring Soon</t>
  </si>
  <si>
    <t xml:space="preserve">Expired</t>
  </si>
  <si>
    <t xml:space="preserve">Terminated</t>
  </si>
  <si>
    <t xml:space="preserve">Vacant</t>
  </si>
  <si>
    <t xml:space="preserve">  HOW TO USE THIS WORKBOOK</t>
  </si>
  <si>
    <t xml:space="preserve">1</t>
  </si>
  <si>
    <t xml:space="preserve">Use the TENANT FORM sheet to enter a new tenant's details in the yellow cells, then copy the row into TENANTS (or use Add once macros are enabled).</t>
  </si>
  <si>
    <t xml:space="preserve">2</t>
  </si>
  <si>
    <t xml:space="preserve">Go to the AGREEMENTS sheet to record each lease agreement. Add a new row for each renewal - do NOT overwrite old rows.</t>
  </si>
  <si>
    <t xml:space="preserve">3</t>
  </si>
  <si>
    <t xml:space="preserve">The DASHBOARD updates automatically. The Expiry Watch section shows the soonest-expiring leases within 90 days.</t>
  </si>
  <si>
    <t xml:space="preserve">4</t>
  </si>
  <si>
    <t xml:space="preserve">Status is automatic: Active -&gt; Expiring Soon (&lt;=30 days) -&gt; Expired. 'Active - Review' means the lease ends within 3 months.</t>
  </si>
  <si>
    <t xml:space="preserve">5</t>
  </si>
  <si>
    <t xml:space="preserve">For a renewal: add a new row in AGREEMENTS with 'Renewal?' = Yes, Renewal No. = 1 (or 2 for second renewal). Update the Lease End date in TENANTS.</t>
  </si>
  <si>
    <t xml:space="preserve">6</t>
  </si>
  <si>
    <t xml:space="preserve">Yellow cells = you fill in - Blue-text cells = formula, do not edit - Drop-down arrows appear when you click a cell in the relevant columns.</t>
  </si>
  <si>
    <t xml:space="preserve">List Name</t>
  </si>
  <si>
    <t xml:space="preserve">Values</t>
  </si>
  <si>
    <t xml:space="preserve">UnitTypes</t>
  </si>
  <si>
    <t xml:space="preserve">Apartment</t>
  </si>
  <si>
    <t xml:space="preserve">Office</t>
  </si>
  <si>
    <t xml:space="preserve">Shop</t>
  </si>
  <si>
    <t xml:space="preserve">Warehouse</t>
  </si>
  <si>
    <t xml:space="preserve">Studio</t>
  </si>
  <si>
    <t xml:space="preserve">Penthouse</t>
  </si>
  <si>
    <t xml:space="preserve">Other</t>
  </si>
  <si>
    <t xml:space="preserve">StatusList</t>
  </si>
  <si>
    <t xml:space="preserve">Pending</t>
  </si>
  <si>
    <t xml:space="preserve">FreqList</t>
  </si>
  <si>
    <t xml:space="preserve">Monthly</t>
  </si>
  <si>
    <t xml:space="preserve">Quarterly</t>
  </si>
  <si>
    <t xml:space="preserve">Semi-Annual</t>
  </si>
  <si>
    <t xml:space="preserve">Annual</t>
  </si>
  <si>
    <t xml:space="preserve">Currency</t>
  </si>
  <si>
    <t xml:space="preserve">GHS</t>
  </si>
  <si>
    <t xml:space="preserve">USD</t>
  </si>
  <si>
    <t xml:space="preserve">GBP</t>
  </si>
  <si>
    <t xml:space="preserve">EUR</t>
  </si>
  <si>
    <t xml:space="preserve">NGN</t>
  </si>
  <si>
    <t xml:space="preserve">PayMethod</t>
  </si>
  <si>
    <t xml:space="preserve">Cash</t>
  </si>
  <si>
    <t xml:space="preserve">Bank Transfer</t>
  </si>
  <si>
    <t xml:space="preserve">Mobile Money</t>
  </si>
  <si>
    <t xml:space="preserve">Cheque</t>
  </si>
  <si>
    <t xml:space="preserve">Standing Order</t>
  </si>
  <si>
    <t xml:space="preserve">YesNo</t>
  </si>
  <si>
    <t xml:space="preserve">Yes</t>
  </si>
  <si>
    <t xml:space="preserve">No</t>
  </si>
  <si>
    <t xml:space="preserve">SearchFilter</t>
  </si>
  <si>
    <t xml:space="preserve">All</t>
  </si>
  <si>
    <t xml:space="preserve">Tenant Database</t>
  </si>
  <si>
    <t xml:space="preserve">Frame1</t>
  </si>
  <si>
    <t xml:space="preserve">T-001</t>
  </si>
  <si>
    <t xml:space="preserve">Contract Start</t>
  </si>
  <si>
    <t xml:space="preserve">Emergency Contact</t>
  </si>
  <si>
    <t xml:space="preserve">Full Name / Company</t>
  </si>
  <si>
    <t xml:space="preserve">Contract End</t>
  </si>
  <si>
    <t xml:space="preserve">Relationship</t>
  </si>
  <si>
    <t xml:space="preserve">Phone</t>
  </si>
  <si>
    <t xml:space="preserve">Monthly Rent</t>
  </si>
  <si>
    <t xml:space="preserve">Emergency Phone</t>
  </si>
  <si>
    <t xml:space="preserve">Email</t>
  </si>
  <si>
    <t xml:space="preserve">Tenant ID photo / lease scan</t>
  </si>
  <si>
    <t xml:space="preserve">ID / Reg No.</t>
  </si>
  <si>
    <t xml:space="preserve">Payment Frequency</t>
  </si>
  <si>
    <t xml:space="preserve">Unit Number</t>
  </si>
  <si>
    <t xml:space="preserve">Deposit Paid</t>
  </si>
  <si>
    <t xml:space="preserve">Unit Type</t>
  </si>
  <si>
    <t xml:space="preserve">Payment Method</t>
  </si>
  <si>
    <t xml:space="preserve">Floor / Block</t>
  </si>
  <si>
    <t xml:space="preserve">Residential Address</t>
  </si>
  <si>
    <t xml:space="preserve">Upload Document</t>
  </si>
  <si>
    <t xml:space="preserve">Search</t>
  </si>
  <si>
    <t xml:space="preserve">Database</t>
  </si>
  <si>
    <t xml:space="preserve">Name</t>
  </si>
  <si>
    <t xml:space="preserve">Unit</t>
  </si>
  <si>
    <t xml:space="preserve">Rent</t>
  </si>
  <si>
    <t xml:space="preserve">Address</t>
  </si>
  <si>
    <t xml:space="preserve">Add</t>
  </si>
  <si>
    <t xml:space="preserve">Update</t>
  </si>
  <si>
    <t xml:space="preserve">Delete</t>
  </si>
  <si>
    <t xml:space="preserve">Reset</t>
  </si>
  <si>
    <t xml:space="preserve">Close</t>
  </si>
  <si>
    <t xml:space="preserve">Fill the yellow cells, then use Add to append a new tenant to the TENANTS sheet, or Update / Delete for the selected row.</t>
  </si>
  <si>
    <t xml:space="preserve">TENANT REGISTER</t>
  </si>
  <si>
    <t xml:space="preserve">Yellow cells = data entry - Blue text = formula (do not edit) - Status updates automatically</t>
  </si>
  <si>
    <t xml:space="preserve">Term (months)</t>
  </si>
  <si>
    <t xml:space="preserve">Payment Freq.</t>
  </si>
  <si>
    <t xml:space="preserve">Days to Expiry</t>
  </si>
  <si>
    <t xml:space="preserve">Kwame Mensah Enterprises</t>
  </si>
  <si>
    <t xml:space="preserve">0244123456</t>
  </si>
  <si>
    <t xml:space="preserve">kwame@example.com</t>
  </si>
  <si>
    <t xml:space="preserve">GH-0012345</t>
  </si>
  <si>
    <t xml:space="preserve">A-101</t>
  </si>
  <si>
    <t xml:space="preserve">1st / Block A</t>
  </si>
  <si>
    <t xml:space="preserve">Ama Mensah</t>
  </si>
  <si>
    <t xml:space="preserve">Spouse</t>
  </si>
  <si>
    <t xml:space="preserve">0244999111</t>
  </si>
  <si>
    <t xml:space="preserve">12 Ridge Road, Kumasi</t>
  </si>
  <si>
    <t xml:space="preserve">T-002</t>
  </si>
  <si>
    <t xml:space="preserve">Simeon Boison</t>
  </si>
  <si>
    <t xml:space="preserve">0598833244</t>
  </si>
  <si>
    <t xml:space="preserve">simeonb@example.com</t>
  </si>
  <si>
    <t xml:space="preserve">GH-0022341</t>
  </si>
  <si>
    <t xml:space="preserve">B-204</t>
  </si>
  <si>
    <t xml:space="preserve">2nd / Block B</t>
  </si>
  <si>
    <t xml:space="preserve">Yaw Boison</t>
  </si>
  <si>
    <t xml:space="preserve">Brother</t>
  </si>
  <si>
    <t xml:space="preserve">0209988112</t>
  </si>
  <si>
    <t xml:space="preserve">5 Adum Street, Kumasi</t>
  </si>
  <si>
    <t xml:space="preserve">T-003</t>
  </si>
  <si>
    <t xml:space="preserve">Benjamin Darko</t>
  </si>
  <si>
    <t xml:space="preserve">0545921808</t>
  </si>
  <si>
    <t xml:space="preserve">dynamicdb2541@gmail.com</t>
  </si>
  <si>
    <t xml:space="preserve">GH-0033452</t>
  </si>
  <si>
    <t xml:space="preserve">C-010</t>
  </si>
  <si>
    <t xml:space="preserve">Ground / Block C</t>
  </si>
  <si>
    <t xml:space="preserve">Grace Darko</t>
  </si>
  <si>
    <t xml:space="preserve">Sister</t>
  </si>
  <si>
    <t xml:space="preserve">0271234567</t>
  </si>
  <si>
    <t xml:space="preserve">22 Tafo Road, Kumasi</t>
  </si>
  <si>
    <t xml:space="preserve">Room No</t>
  </si>
  <si>
    <t xml:space="preserve">RM-01</t>
  </si>
  <si>
    <t xml:space="preserve">RM-02</t>
  </si>
  <si>
    <t xml:space="preserve">RM-03</t>
  </si>
  <si>
    <t xml:space="preserve">RM-04</t>
  </si>
  <si>
    <t xml:space="preserve">RM-05</t>
  </si>
  <si>
    <t xml:space="preserve">RM-06</t>
  </si>
  <si>
    <t xml:space="preserve">RM-07</t>
  </si>
  <si>
    <t xml:space="preserve">RM-08</t>
  </si>
  <si>
    <t xml:space="preserve">RM-09</t>
  </si>
  <si>
    <t xml:space="preserve">RM-10</t>
  </si>
  <si>
    <t xml:space="preserve">RM-11</t>
  </si>
  <si>
    <t xml:space="preserve">RM-12</t>
  </si>
  <si>
    <t xml:space="preserve">LEASE AGREEMENTS &amp; RENEWALS</t>
  </si>
  <si>
    <t xml:space="preserve">Each row = one agreement period. A renewed lease gets a new row. Link Tenant ID to the TENANTS sheet.</t>
  </si>
  <si>
    <t xml:space="preserve">Agr. ID</t>
  </si>
  <si>
    <t xml:space="preserve">Original Start</t>
  </si>
  <si>
    <t xml:space="preserve">Lease Start</t>
  </si>
  <si>
    <t xml:space="preserve">Renewal?</t>
  </si>
  <si>
    <t xml:space="preserve">Renewal No.</t>
  </si>
  <si>
    <t xml:space="preserve">Previous Agr. Ref</t>
  </si>
  <si>
    <t xml:space="preserve">Annual Rent</t>
  </si>
  <si>
    <t xml:space="preserve">Rent Increment%</t>
  </si>
  <si>
    <t xml:space="preserve">Next Review Date</t>
  </si>
  <si>
    <t xml:space="preserve">Notes</t>
  </si>
  <si>
    <t xml:space="preserve">AGR-001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</si>
</sst>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General"/>
    <numFmt numFmtId="166" formatCode="#,##0"/>
    <numFmt numFmtId="167" formatCode="0.0%"/>
    <numFmt numFmtId="168" formatCode="dd\-mmm\-yyyy"/>
    <numFmt numFmtId="169" formatCode="#,##0.00"/>
    <numFmt numFmtId="170" formatCode="0"/>
  </numFmts>
  <fonts count="2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Arial"/>
      <family val="0"/>
      <charset val="1"/>
    </font>
    <font>
      <i val="true"/>
      <sz val="10"/>
      <color rgb="FFFFFFFF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8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i val="true"/>
      <sz val="8"/>
      <color rgb="FFFFFFFF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9"/>
      <color rgb="FF000000"/>
      <name val="Arial"/>
      <family val="0"/>
      <charset val="1"/>
    </font>
    <font>
      <b val="true"/>
      <sz val="9"/>
      <color rgb="FF000000"/>
      <name val="Arial"/>
      <family val="0"/>
      <charset val="1"/>
    </font>
    <font>
      <b val="true"/>
      <sz val="9"/>
      <color rgb="FFE67E22"/>
      <name val="Arial"/>
      <family val="0"/>
      <charset val="1"/>
    </font>
    <font>
      <b val="true"/>
      <sz val="18"/>
      <color rgb="FFFFFFFF"/>
      <name val="Arial"/>
      <family val="0"/>
      <charset val="1"/>
    </font>
    <font>
      <b val="true"/>
      <sz val="18"/>
      <color rgb="FF000000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b val="true"/>
      <sz val="10"/>
      <color rgb="FF1F3864"/>
      <name val="Arial"/>
      <family val="0"/>
      <charset val="1"/>
    </font>
    <font>
      <sz val="10"/>
      <color rgb="FF00008B"/>
      <name val="Arial"/>
      <family val="0"/>
      <charset val="1"/>
    </font>
    <font>
      <i val="true"/>
      <sz val="9"/>
      <color rgb="FF566573"/>
      <name val="Arial"/>
      <family val="0"/>
      <charset val="1"/>
    </font>
    <font>
      <b val="true"/>
      <sz val="11"/>
      <color rgb="FF000000"/>
      <name val="Arial"/>
      <family val="0"/>
      <charset val="1"/>
    </font>
    <font>
      <i val="true"/>
      <sz val="8"/>
      <color rgb="FF566573"/>
      <name val="Arial"/>
      <family val="0"/>
      <charset val="1"/>
    </font>
    <font>
      <b val="true"/>
      <sz val="14"/>
      <color rgb="FFFFFFFF"/>
      <name val="Arial"/>
      <family val="0"/>
      <charset val="1"/>
    </font>
    <font>
      <i val="true"/>
      <sz val="9"/>
      <color rgb="FFFFFFFF"/>
      <name val="Arial"/>
      <family val="0"/>
      <charset val="1"/>
    </font>
    <font>
      <sz val="9"/>
      <color rgb="FF00008B"/>
      <name val="Arial"/>
      <family val="0"/>
      <charset val="1"/>
    </font>
    <font>
      <sz val="9"/>
      <color rgb="FF1A5276"/>
      <name val="Arial"/>
      <family val="0"/>
      <charset val="1"/>
    </font>
  </fonts>
  <fills count="18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566573"/>
        <bgColor rgb="FF808080"/>
      </patternFill>
    </fill>
    <fill>
      <patternFill patternType="solid">
        <fgColor rgb="FF17A589"/>
        <bgColor rgb="FF1E8449"/>
      </patternFill>
    </fill>
    <fill>
      <patternFill patternType="solid">
        <fgColor rgb="FFE67E22"/>
        <bgColor rgb="FFFF9900"/>
      </patternFill>
    </fill>
    <fill>
      <patternFill patternType="solid">
        <fgColor rgb="FFE74C3C"/>
        <bgColor rgb="FFE67E22"/>
      </patternFill>
    </fill>
    <fill>
      <patternFill patternType="solid">
        <fgColor rgb="FF1E8449"/>
        <bgColor rgb="FF0D6E4E"/>
      </patternFill>
    </fill>
    <fill>
      <patternFill patternType="solid">
        <fgColor rgb="FF0D6E4E"/>
        <bgColor rgb="FF1E8449"/>
      </patternFill>
    </fill>
    <fill>
      <patternFill patternType="solid">
        <fgColor rgb="FFFFFFFF"/>
        <bgColor rgb="FFF8F9FA"/>
      </patternFill>
    </fill>
    <fill>
      <patternFill patternType="solid">
        <fgColor rgb="FFF8F9FA"/>
        <bgColor rgb="FFFFFFFF"/>
      </patternFill>
    </fill>
    <fill>
      <patternFill patternType="solid">
        <fgColor rgb="FFBFC9CA"/>
        <bgColor rgb="FFD6EAF8"/>
      </patternFill>
    </fill>
    <fill>
      <patternFill patternType="solid">
        <fgColor rgb="FFF8D7CE"/>
        <bgColor rgb="FFFADBD8"/>
      </patternFill>
    </fill>
    <fill>
      <patternFill patternType="solid">
        <fgColor rgb="FFFDEBD5"/>
        <bgColor rgb="FFFDEBD0"/>
      </patternFill>
    </fill>
    <fill>
      <patternFill patternType="solid">
        <fgColor rgb="FFFFF9C4"/>
        <bgColor rgb="FFFDEBD0"/>
      </patternFill>
    </fill>
    <fill>
      <patternFill patternType="solid">
        <fgColor rgb="FFEDEDED"/>
        <bgColor rgb="FFF8F9FA"/>
      </patternFill>
    </fill>
    <fill>
      <patternFill patternType="solid">
        <fgColor rgb="FFFFFF99"/>
        <bgColor rgb="FFFFF9C4"/>
      </patternFill>
    </fill>
    <fill>
      <patternFill patternType="solid">
        <fgColor rgb="FFD6EAF8"/>
        <bgColor rgb="FFD1F2EB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thin">
        <color rgb="FFBFC9CA"/>
      </left>
      <right/>
      <top style="thin">
        <color rgb="FFBFC9CA"/>
      </top>
      <bottom style="medium">
        <color rgb="FF1F3864"/>
      </bottom>
      <diagonal/>
    </border>
    <border diagonalUp="false" diagonalDown="false">
      <left style="thin">
        <color rgb="FFBFC9CA"/>
      </left>
      <right/>
      <top style="thin">
        <color rgb="FFBFC9CA"/>
      </top>
      <bottom style="thin">
        <color rgb="FFBFC9CA"/>
      </bottom>
      <diagonal/>
    </border>
    <border diagonalUp="false" diagonalDown="false">
      <left style="thin">
        <color rgb="FFBFC9CA"/>
      </left>
      <right/>
      <top style="thin">
        <color rgb="FFBFC9CA"/>
      </top>
      <bottom/>
      <diagonal/>
    </border>
    <border diagonalUp="false" diagonalDown="false"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 diagonalUp="false" diagonalDown="false"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 diagonalUp="false" diagonalDown="false">
      <left style="medium">
        <color rgb="FF808080"/>
      </left>
      <right/>
      <top style="medium">
        <color rgb="FF808080"/>
      </top>
      <bottom/>
      <diagonal/>
    </border>
    <border diagonalUp="false" diagonalDown="false">
      <left style="thin">
        <color rgb="FF808080"/>
      </left>
      <right/>
      <top style="thin">
        <color rgb="FF808080"/>
      </top>
      <bottom/>
      <diagonal/>
    </border>
    <border diagonalUp="false" diagonalDown="false"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/>
      <top style="thin">
        <color rgb="FF808080"/>
      </top>
      <bottom style="thin">
        <color rgb="FF808080"/>
      </bottom>
      <diagonal/>
    </border>
    <border diagonalUp="false" diagonalDown="false"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9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3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5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10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9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4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1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1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9" fillId="1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18" fillId="1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8" fontId="19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19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1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15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4" borderId="8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9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15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1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9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11" fillId="9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11" fillId="9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1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11" fillId="1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11" fillId="1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15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1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1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25" fillId="1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26" fillId="1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5" fillId="1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6" fillId="1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4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6" fillId="1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5" fillId="1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26" fillId="1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9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11" fillId="1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">
    <dxf>
      <font>
        <name val="Arial"/>
        <charset val="1"/>
        <family val="0"/>
        <b val="1"/>
        <color rgb="FFE74C3C"/>
        <sz val="10"/>
      </font>
      <fill>
        <patternFill>
          <bgColor rgb="FFFADBD8"/>
        </patternFill>
      </fill>
    </dxf>
    <dxf>
      <font>
        <name val="Arial"/>
        <charset val="1"/>
        <family val="0"/>
        <b val="1"/>
        <color rgb="FFE67E22"/>
        <sz val="10"/>
      </font>
      <fill>
        <patternFill>
          <bgColor rgb="FFFDEBD0"/>
        </patternFill>
      </fill>
    </dxf>
    <dxf>
      <font>
        <name val="Arial"/>
        <charset val="1"/>
        <family val="0"/>
        <b val="1"/>
        <color rgb="FF1E8449"/>
        <sz val="10"/>
      </font>
      <fill>
        <patternFill>
          <bgColor rgb="FFD5F5E3"/>
        </patternFill>
      </fill>
    </dxf>
    <dxf>
      <font>
        <name val="Arial"/>
        <charset val="1"/>
        <family val="0"/>
        <b val="1"/>
        <color rgb="FF17A589"/>
        <sz val="10"/>
      </font>
      <fill>
        <patternFill>
          <bgColor rgb="FFD1F2EB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8F9FA"/>
      <rgbColor rgb="FFFF00FF"/>
      <rgbColor rgb="FF00FFFF"/>
      <rgbColor rgb="FF800000"/>
      <rgbColor rgb="FF008000"/>
      <rgbColor rgb="FF00008B"/>
      <rgbColor rgb="FF808000"/>
      <rgbColor rgb="FF800080"/>
      <rgbColor rgb="FF0D6E4E"/>
      <rgbColor rgb="FFBFC9CA"/>
      <rgbColor rgb="FF808080"/>
      <rgbColor rgb="FF9999FF"/>
      <rgbColor rgb="FF993366"/>
      <rgbColor rgb="FFFFF9C4"/>
      <rgbColor rgb="FFD1F2EB"/>
      <rgbColor rgb="FF660066"/>
      <rgbColor rgb="FFE74C3C"/>
      <rgbColor rgb="FF0066CC"/>
      <rgbColor rgb="FFFADBD8"/>
      <rgbColor rgb="FF000080"/>
      <rgbColor rgb="FFFF00FF"/>
      <rgbColor rgb="FFFFFF00"/>
      <rgbColor rgb="FF00FFFF"/>
      <rgbColor rgb="FF800080"/>
      <rgbColor rgb="FF800000"/>
      <rgbColor rgb="FF1E8449"/>
      <rgbColor rgb="FF0000FF"/>
      <rgbColor rgb="FF00CCFF"/>
      <rgbColor rgb="FFD6EAF8"/>
      <rgbColor rgb="FFD5F5E3"/>
      <rgbColor rgb="FFFFFF99"/>
      <rgbColor rgb="FFEDEDED"/>
      <rgbColor rgb="FFFDEBD0"/>
      <rgbColor rgb="FFFDEBD5"/>
      <rgbColor rgb="FFF8D7CE"/>
      <rgbColor rgb="FF3366FF"/>
      <rgbColor rgb="FF33CCCC"/>
      <rgbColor rgb="FF99CC00"/>
      <rgbColor rgb="FFFFCC00"/>
      <rgbColor rgb="FFFF9900"/>
      <rgbColor rgb="FFE67E22"/>
      <rgbColor rgb="FF566573"/>
      <rgbColor rgb="FF969696"/>
      <rgbColor rgb="FF1F3864"/>
      <rgbColor rgb="FF17A589"/>
      <rgbColor rgb="FF003300"/>
      <rgbColor rgb="FF333300"/>
      <rgbColor rgb="FF993300"/>
      <rgbColor rgb="FF993366"/>
      <rgbColor rgb="FF1A527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N35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4" min="1" style="0" width="14"/>
  </cols>
  <sheetData>
    <row r="1" customFormat="false" ht="39.7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customFormat="false" ht="19.5" hidden="false" customHeight="true" outlineLevel="0" collapsed="false">
      <c r="A2" s="2" t="str">
        <f aca="true">_xlfn.TEXTJOIN("  -  ",TRUE(),"Report Date:",TEXT(TODAY(),"DD MMMM YYYY"))</f>
        <v>Report Date:  -  13 July 2026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4" customFormat="false" ht="24" hidden="false" customHeight="true" outlineLevel="0" collapsed="false">
      <c r="A4" s="3" t="s">
        <v>1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customFormat="false" ht="19.5" hidden="false" customHeight="true" outlineLevel="0" collapsed="false">
      <c r="A5" s="4" t="s">
        <v>2</v>
      </c>
      <c r="B5" s="4"/>
      <c r="C5" s="5" t="s">
        <v>3</v>
      </c>
      <c r="D5" s="5"/>
      <c r="E5" s="6" t="s">
        <v>4</v>
      </c>
      <c r="F5" s="6"/>
      <c r="G5" s="7" t="s">
        <v>5</v>
      </c>
      <c r="H5" s="7"/>
      <c r="I5" s="8" t="s">
        <v>6</v>
      </c>
      <c r="J5" s="8"/>
      <c r="K5" s="9" t="s">
        <v>7</v>
      </c>
      <c r="L5" s="9"/>
      <c r="M5" s="4" t="s">
        <v>8</v>
      </c>
      <c r="N5" s="4"/>
    </row>
    <row r="6" customFormat="false" ht="19.5" hidden="false" customHeight="true" outlineLevel="0" collapsed="false">
      <c r="A6" s="10" t="n">
        <f aca="false">COUNTA(TENANTS!B4:B53)</f>
        <v>3</v>
      </c>
      <c r="B6" s="10"/>
      <c r="C6" s="11" t="n">
        <f aca="false">COUNTIF(TENANTS!R4:R53,"Active")+COUNTIF(TENANTS!R4:R53,"Active - Review")</f>
        <v>1</v>
      </c>
      <c r="D6" s="11"/>
      <c r="E6" s="12" t="n">
        <f aca="false">COUNTIF(TENANTS!R4:R53,"Expiring Soon")</f>
        <v>0</v>
      </c>
      <c r="F6" s="12"/>
      <c r="G6" s="13" t="n">
        <f aca="false">COUNTIF(TENANTS!R4:R53,"Expired")</f>
        <v>2</v>
      </c>
      <c r="H6" s="13"/>
      <c r="I6" s="14" t="n">
        <f aca="false">SUMIF(TENANTS!R4:R53,"Active",TENANTS!L4:L53)+SUMIF(TENANTS!R4:R53,"Active - Review",TENANTS!L4:L53)</f>
        <v>2800</v>
      </c>
      <c r="J6" s="14"/>
      <c r="K6" s="15" t="n">
        <f aca="false">(SUMIF(TENANTS!R4:R53,"Active",TENANTS!L4:L53)+SUMIF(TENANTS!R4:R53,"Active - Review",TENANTS!L4:L53))*12</f>
        <v>33600</v>
      </c>
      <c r="L6" s="15"/>
      <c r="M6" s="16" t="n">
        <f aca="false">IFERROR((COUNTIF(TENANTS!R4:R53,"Active")+COUNTIF(TENANTS!R4:R53,"Active - Review"))/COUNTA(TENANTS!B4:B53),0)</f>
        <v>0.333333333333333</v>
      </c>
      <c r="N6" s="16"/>
    </row>
    <row r="7" customFormat="false" ht="27.75" hidden="false" customHeight="true" outlineLevel="0" collapsed="false">
      <c r="A7" s="10"/>
      <c r="B7" s="10"/>
      <c r="C7" s="11"/>
      <c r="D7" s="11"/>
      <c r="E7" s="12"/>
      <c r="F7" s="12"/>
      <c r="G7" s="13"/>
      <c r="H7" s="13"/>
      <c r="I7" s="14"/>
      <c r="J7" s="14"/>
      <c r="K7" s="15"/>
      <c r="L7" s="15"/>
      <c r="M7" s="16"/>
      <c r="N7" s="16"/>
    </row>
    <row r="8" customFormat="false" ht="19.5" hidden="false" customHeight="true" outlineLevel="0" collapsed="false">
      <c r="A8" s="10"/>
      <c r="B8" s="10"/>
      <c r="C8" s="11"/>
      <c r="D8" s="11"/>
      <c r="E8" s="12"/>
      <c r="F8" s="12"/>
      <c r="G8" s="13"/>
      <c r="H8" s="13"/>
      <c r="I8" s="14"/>
      <c r="J8" s="14"/>
      <c r="K8" s="15"/>
      <c r="L8" s="15"/>
      <c r="M8" s="16"/>
      <c r="N8" s="16"/>
    </row>
    <row r="9" customFormat="false" ht="19.5" hidden="false" customHeight="true" outlineLevel="0" collapsed="false">
      <c r="A9" s="17" t="s">
        <v>9</v>
      </c>
      <c r="B9" s="17"/>
      <c r="C9" s="18" t="s">
        <v>10</v>
      </c>
      <c r="D9" s="18"/>
      <c r="E9" s="19" t="s">
        <v>11</v>
      </c>
      <c r="F9" s="19"/>
      <c r="G9" s="20" t="s">
        <v>12</v>
      </c>
      <c r="H9" s="20"/>
      <c r="I9" s="21" t="s">
        <v>13</v>
      </c>
      <c r="J9" s="21"/>
      <c r="K9" s="22" t="s">
        <v>14</v>
      </c>
      <c r="L9" s="22"/>
      <c r="M9" s="17" t="s">
        <v>15</v>
      </c>
      <c r="N9" s="17"/>
    </row>
    <row r="11" customFormat="false" ht="21.75" hidden="false" customHeight="true" outlineLevel="0" collapsed="false">
      <c r="A11" s="23" t="s">
        <v>16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</row>
    <row r="12" customFormat="false" ht="19.5" hidden="false" customHeight="true" outlineLevel="0" collapsed="false">
      <c r="A12" s="24" t="s">
        <v>17</v>
      </c>
      <c r="B12" s="24"/>
      <c r="C12" s="24" t="s">
        <v>18</v>
      </c>
      <c r="D12" s="24"/>
      <c r="E12" s="24"/>
      <c r="F12" s="24" t="s">
        <v>19</v>
      </c>
      <c r="G12" s="24"/>
      <c r="H12" s="24" t="s">
        <v>20</v>
      </c>
      <c r="I12" s="24"/>
      <c r="J12" s="24" t="s">
        <v>21</v>
      </c>
      <c r="K12" s="24"/>
      <c r="L12" s="24" t="s">
        <v>22</v>
      </c>
      <c r="M12" s="24"/>
      <c r="N12" s="24"/>
    </row>
    <row r="13" customFormat="false" ht="18" hidden="false" customHeight="true" outlineLevel="0" collapsed="false">
      <c r="A13" s="25" t="str">
        <f aca="false">IFERROR(INDEX(TENANTS!A$4:A$53,MATCH(SMALL(IF((TENANTS!Q$4:Q$53&gt;=0)*(TENANTS!Q$4:Q$53&lt;=90),TENANTS!Q$4:Q$53),1),TENANTS!Q$4:Q$53,0)),"-")</f>
        <v>-</v>
      </c>
      <c r="B13" s="25"/>
      <c r="C13" s="26" t="str">
        <f aca="false">IFERROR(INDEX(TENANTS!B$4:B$53,MATCH(SMALL(IF((TENANTS!Q$4:Q$53&gt;=0)*(TENANTS!Q$4:Q$53&lt;=90),TENANTS!Q$4:Q$53),1),TENANTS!Q$4:Q$53,0)),"-")</f>
        <v>-</v>
      </c>
      <c r="D13" s="26"/>
      <c r="E13" s="26"/>
      <c r="F13" s="25" t="str">
        <f aca="false">IFERROR(INDEX(TENANTS!F$4:F$53,MATCH(SMALL(IF((TENANTS!Q$4:Q$53&gt;=0)*(TENANTS!Q$4:Q$53&lt;=90),TENANTS!Q$4:Q$53),1),TENANTS!Q$4:Q$53,0)),"-")</f>
        <v>-</v>
      </c>
      <c r="G13" s="25"/>
      <c r="H13" s="27" t="str">
        <f aca="false">IFERROR(INDEX(TENANTS!J$4:J$53,MATCH(SMALL(IF((TENANTS!Q$4:Q$53&gt;=0)*(TENANTS!Q$4:Q$53&lt;=90),TENANTS!Q$4:Q$53),1),TENANTS!Q$4:Q$53,0)),"-")</f>
        <v>-</v>
      </c>
      <c r="I13" s="27"/>
      <c r="J13" s="28" t="n">
        <f aca="false">IFERROR(SMALL(IF((TENANTS!Q$4:Q$53&gt;=0)*(TENANTS!Q$4:Q$53&lt;=90),TENANTS!Q$4:Q$53),1),"-")</f>
        <v>0</v>
      </c>
      <c r="K13" s="28"/>
      <c r="L13" s="29" t="str">
        <f aca="false">IFERROR(INDEX(TENANTS!R$4:R$53,MATCH(SMALL(IF((TENANTS!Q$4:Q$53&gt;=0)*(TENANTS!Q$4:Q$53&lt;=90),TENANTS!Q$4:Q$53),1),TENANTS!Q$4:Q$53,0)),"-")</f>
        <v>-</v>
      </c>
      <c r="M13" s="29"/>
      <c r="N13" s="29"/>
    </row>
    <row r="14" customFormat="false" ht="18" hidden="false" customHeight="true" outlineLevel="0" collapsed="false">
      <c r="A14" s="30" t="str">
        <f aca="false">IFERROR(INDEX(TENANTS!A$4:A$53,MATCH(SMALL(IF((TENANTS!Q$4:Q$53&gt;=0)*(TENANTS!Q$4:Q$53&lt;=90),TENANTS!Q$4:Q$53),2),TENANTS!Q$4:Q$53,0)),"-")</f>
        <v>-</v>
      </c>
      <c r="B14" s="30"/>
      <c r="C14" s="31" t="str">
        <f aca="false">IFERROR(INDEX(TENANTS!B$4:B$53,MATCH(SMALL(IF((TENANTS!Q$4:Q$53&gt;=0)*(TENANTS!Q$4:Q$53&lt;=90),TENANTS!Q$4:Q$53),2),TENANTS!Q$4:Q$53,0)),"-")</f>
        <v>-</v>
      </c>
      <c r="D14" s="31"/>
      <c r="E14" s="31"/>
      <c r="F14" s="30" t="str">
        <f aca="false">IFERROR(INDEX(TENANTS!F$4:F$53,MATCH(SMALL(IF((TENANTS!Q$4:Q$53&gt;=0)*(TENANTS!Q$4:Q$53&lt;=90),TENANTS!Q$4:Q$53),2),TENANTS!Q$4:Q$53,0)),"-")</f>
        <v>-</v>
      </c>
      <c r="G14" s="30"/>
      <c r="H14" s="32" t="str">
        <f aca="false">IFERROR(INDEX(TENANTS!J$4:J$53,MATCH(SMALL(IF((TENANTS!Q$4:Q$53&gt;=0)*(TENANTS!Q$4:Q$53&lt;=90),TENANTS!Q$4:Q$53),2),TENANTS!Q$4:Q$53,0)),"-")</f>
        <v>-</v>
      </c>
      <c r="I14" s="32"/>
      <c r="J14" s="33" t="str">
        <f aca="false">IFERROR(SMALL(IF((TENANTS!Q$4:Q$53&gt;=0)*(TENANTS!Q$4:Q$53&lt;=90),TENANTS!Q$4:Q$53),2),"-")</f>
        <v>-</v>
      </c>
      <c r="K14" s="33"/>
      <c r="L14" s="34" t="str">
        <f aca="false">IFERROR(INDEX(TENANTS!R$4:R$53,MATCH(SMALL(IF((TENANTS!Q$4:Q$53&gt;=0)*(TENANTS!Q$4:Q$53&lt;=90),TENANTS!Q$4:Q$53),2),TENANTS!Q$4:Q$53,0)),"-")</f>
        <v>-</v>
      </c>
      <c r="M14" s="34"/>
      <c r="N14" s="34"/>
    </row>
    <row r="15" customFormat="false" ht="18" hidden="false" customHeight="true" outlineLevel="0" collapsed="false">
      <c r="A15" s="25" t="str">
        <f aca="false">IFERROR(INDEX(TENANTS!A$4:A$53,MATCH(SMALL(IF((TENANTS!Q$4:Q$53&gt;=0)*(TENANTS!Q$4:Q$53&lt;=90),TENANTS!Q$4:Q$53),3),TENANTS!Q$4:Q$53,0)),"-")</f>
        <v>-</v>
      </c>
      <c r="B15" s="25"/>
      <c r="C15" s="26" t="str">
        <f aca="false">IFERROR(INDEX(TENANTS!B$4:B$53,MATCH(SMALL(IF((TENANTS!Q$4:Q$53&gt;=0)*(TENANTS!Q$4:Q$53&lt;=90),TENANTS!Q$4:Q$53),3),TENANTS!Q$4:Q$53,0)),"-")</f>
        <v>-</v>
      </c>
      <c r="D15" s="26"/>
      <c r="E15" s="26"/>
      <c r="F15" s="25" t="str">
        <f aca="false">IFERROR(INDEX(TENANTS!F$4:F$53,MATCH(SMALL(IF((TENANTS!Q$4:Q$53&gt;=0)*(TENANTS!Q$4:Q$53&lt;=90),TENANTS!Q$4:Q$53),3),TENANTS!Q$4:Q$53,0)),"-")</f>
        <v>-</v>
      </c>
      <c r="G15" s="25"/>
      <c r="H15" s="27" t="str">
        <f aca="false">IFERROR(INDEX(TENANTS!J$4:J$53,MATCH(SMALL(IF((TENANTS!Q$4:Q$53&gt;=0)*(TENANTS!Q$4:Q$53&lt;=90),TENANTS!Q$4:Q$53),3),TENANTS!Q$4:Q$53,0)),"-")</f>
        <v>-</v>
      </c>
      <c r="I15" s="27"/>
      <c r="J15" s="28" t="str">
        <f aca="false">IFERROR(SMALL(IF((TENANTS!Q$4:Q$53&gt;=0)*(TENANTS!Q$4:Q$53&lt;=90),TENANTS!Q$4:Q$53),3),"-")</f>
        <v>-</v>
      </c>
      <c r="K15" s="28"/>
      <c r="L15" s="29" t="str">
        <f aca="false">IFERROR(INDEX(TENANTS!R$4:R$53,MATCH(SMALL(IF((TENANTS!Q$4:Q$53&gt;=0)*(TENANTS!Q$4:Q$53&lt;=90),TENANTS!Q$4:Q$53),3),TENANTS!Q$4:Q$53,0)),"-")</f>
        <v>-</v>
      </c>
      <c r="M15" s="29"/>
      <c r="N15" s="29"/>
    </row>
    <row r="16" customFormat="false" ht="18" hidden="false" customHeight="true" outlineLevel="0" collapsed="false">
      <c r="A16" s="30" t="str">
        <f aca="false">IFERROR(INDEX(TENANTS!A$4:A$53,MATCH(SMALL(IF((TENANTS!Q$4:Q$53&gt;=0)*(TENANTS!Q$4:Q$53&lt;=90),TENANTS!Q$4:Q$53),4),TENANTS!Q$4:Q$53,0)),"-")</f>
        <v>-</v>
      </c>
      <c r="B16" s="30"/>
      <c r="C16" s="31" t="str">
        <f aca="false">IFERROR(INDEX(TENANTS!B$4:B$53,MATCH(SMALL(IF((TENANTS!Q$4:Q$53&gt;=0)*(TENANTS!Q$4:Q$53&lt;=90),TENANTS!Q$4:Q$53),4),TENANTS!Q$4:Q$53,0)),"-")</f>
        <v>-</v>
      </c>
      <c r="D16" s="31"/>
      <c r="E16" s="31"/>
      <c r="F16" s="30" t="str">
        <f aca="false">IFERROR(INDEX(TENANTS!F$4:F$53,MATCH(SMALL(IF((TENANTS!Q$4:Q$53&gt;=0)*(TENANTS!Q$4:Q$53&lt;=90),TENANTS!Q$4:Q$53),4),TENANTS!Q$4:Q$53,0)),"-")</f>
        <v>-</v>
      </c>
      <c r="G16" s="30"/>
      <c r="H16" s="32" t="str">
        <f aca="false">IFERROR(INDEX(TENANTS!J$4:J$53,MATCH(SMALL(IF((TENANTS!Q$4:Q$53&gt;=0)*(TENANTS!Q$4:Q$53&lt;=90),TENANTS!Q$4:Q$53),4),TENANTS!Q$4:Q$53,0)),"-")</f>
        <v>-</v>
      </c>
      <c r="I16" s="32"/>
      <c r="J16" s="33" t="str">
        <f aca="false">IFERROR(SMALL(IF((TENANTS!Q$4:Q$53&gt;=0)*(TENANTS!Q$4:Q$53&lt;=90),TENANTS!Q$4:Q$53),4),"-")</f>
        <v>-</v>
      </c>
      <c r="K16" s="33"/>
      <c r="L16" s="34" t="str">
        <f aca="false">IFERROR(INDEX(TENANTS!R$4:R$53,MATCH(SMALL(IF((TENANTS!Q$4:Q$53&gt;=0)*(TENANTS!Q$4:Q$53&lt;=90),TENANTS!Q$4:Q$53),4),TENANTS!Q$4:Q$53,0)),"-")</f>
        <v>-</v>
      </c>
      <c r="M16" s="34"/>
      <c r="N16" s="34"/>
    </row>
    <row r="17" customFormat="false" ht="18" hidden="false" customHeight="true" outlineLevel="0" collapsed="false">
      <c r="A17" s="25" t="str">
        <f aca="false">IFERROR(INDEX(TENANTS!A$4:A$53,MATCH(SMALL(IF((TENANTS!Q$4:Q$53&gt;=0)*(TENANTS!Q$4:Q$53&lt;=90),TENANTS!Q$4:Q$53),5),TENANTS!Q$4:Q$53,0)),"-")</f>
        <v>-</v>
      </c>
      <c r="B17" s="25"/>
      <c r="C17" s="26" t="str">
        <f aca="false">IFERROR(INDEX(TENANTS!B$4:B$53,MATCH(SMALL(IF((TENANTS!Q$4:Q$53&gt;=0)*(TENANTS!Q$4:Q$53&lt;=90),TENANTS!Q$4:Q$53),5),TENANTS!Q$4:Q$53,0)),"-")</f>
        <v>-</v>
      </c>
      <c r="D17" s="26"/>
      <c r="E17" s="26"/>
      <c r="F17" s="25" t="str">
        <f aca="false">IFERROR(INDEX(TENANTS!F$4:F$53,MATCH(SMALL(IF((TENANTS!Q$4:Q$53&gt;=0)*(TENANTS!Q$4:Q$53&lt;=90),TENANTS!Q$4:Q$53),5),TENANTS!Q$4:Q$53,0)),"-")</f>
        <v>-</v>
      </c>
      <c r="G17" s="25"/>
      <c r="H17" s="27" t="str">
        <f aca="false">IFERROR(INDEX(TENANTS!J$4:J$53,MATCH(SMALL(IF((TENANTS!Q$4:Q$53&gt;=0)*(TENANTS!Q$4:Q$53&lt;=90),TENANTS!Q$4:Q$53),5),TENANTS!Q$4:Q$53,0)),"-")</f>
        <v>-</v>
      </c>
      <c r="I17" s="27"/>
      <c r="J17" s="28" t="str">
        <f aca="false">IFERROR(SMALL(IF((TENANTS!Q$4:Q$53&gt;=0)*(TENANTS!Q$4:Q$53&lt;=90),TENANTS!Q$4:Q$53),5),"-")</f>
        <v>-</v>
      </c>
      <c r="K17" s="28"/>
      <c r="L17" s="29" t="str">
        <f aca="false">IFERROR(INDEX(TENANTS!R$4:R$53,MATCH(SMALL(IF((TENANTS!Q$4:Q$53&gt;=0)*(TENANTS!Q$4:Q$53&lt;=90),TENANTS!Q$4:Q$53),5),TENANTS!Q$4:Q$53,0)),"-")</f>
        <v>-</v>
      </c>
      <c r="M17" s="29"/>
      <c r="N17" s="29"/>
    </row>
    <row r="18" customFormat="false" ht="18" hidden="false" customHeight="true" outlineLevel="0" collapsed="false">
      <c r="A18" s="30" t="str">
        <f aca="false">IFERROR(INDEX(TENANTS!A$4:A$53,MATCH(SMALL(IF((TENANTS!Q$4:Q$53&gt;=0)*(TENANTS!Q$4:Q$53&lt;=90),TENANTS!Q$4:Q$53),6),TENANTS!Q$4:Q$53,0)),"-")</f>
        <v>-</v>
      </c>
      <c r="B18" s="30"/>
      <c r="C18" s="31" t="str">
        <f aca="false">IFERROR(INDEX(TENANTS!B$4:B$53,MATCH(SMALL(IF((TENANTS!Q$4:Q$53&gt;=0)*(TENANTS!Q$4:Q$53&lt;=90),TENANTS!Q$4:Q$53),6),TENANTS!Q$4:Q$53,0)),"-")</f>
        <v>-</v>
      </c>
      <c r="D18" s="31"/>
      <c r="E18" s="31"/>
      <c r="F18" s="30" t="str">
        <f aca="false">IFERROR(INDEX(TENANTS!F$4:F$53,MATCH(SMALL(IF((TENANTS!Q$4:Q$53&gt;=0)*(TENANTS!Q$4:Q$53&lt;=90),TENANTS!Q$4:Q$53),6),TENANTS!Q$4:Q$53,0)),"-")</f>
        <v>-</v>
      </c>
      <c r="G18" s="30"/>
      <c r="H18" s="32" t="str">
        <f aca="false">IFERROR(INDEX(TENANTS!J$4:J$53,MATCH(SMALL(IF((TENANTS!Q$4:Q$53&gt;=0)*(TENANTS!Q$4:Q$53&lt;=90),TENANTS!Q$4:Q$53),6),TENANTS!Q$4:Q$53,0)),"-")</f>
        <v>-</v>
      </c>
      <c r="I18" s="32"/>
      <c r="J18" s="33" t="str">
        <f aca="false">IFERROR(SMALL(IF((TENANTS!Q$4:Q$53&gt;=0)*(TENANTS!Q$4:Q$53&lt;=90),TENANTS!Q$4:Q$53),6),"-")</f>
        <v>-</v>
      </c>
      <c r="K18" s="33"/>
      <c r="L18" s="34" t="str">
        <f aca="false">IFERROR(INDEX(TENANTS!R$4:R$53,MATCH(SMALL(IF((TENANTS!Q$4:Q$53&gt;=0)*(TENANTS!Q$4:Q$53&lt;=90),TENANTS!Q$4:Q$53),6),TENANTS!Q$4:Q$53,0)),"-")</f>
        <v>-</v>
      </c>
      <c r="M18" s="34"/>
      <c r="N18" s="34"/>
    </row>
    <row r="19" customFormat="false" ht="18" hidden="false" customHeight="true" outlineLevel="0" collapsed="false">
      <c r="A19" s="25" t="str">
        <f aca="false">IFERROR(INDEX(TENANTS!A$4:A$53,MATCH(SMALL(IF((TENANTS!Q$4:Q$53&gt;=0)*(TENANTS!Q$4:Q$53&lt;=90),TENANTS!Q$4:Q$53),7),TENANTS!Q$4:Q$53,0)),"-")</f>
        <v>-</v>
      </c>
      <c r="B19" s="25"/>
      <c r="C19" s="26" t="str">
        <f aca="false">IFERROR(INDEX(TENANTS!B$4:B$53,MATCH(SMALL(IF((TENANTS!Q$4:Q$53&gt;=0)*(TENANTS!Q$4:Q$53&lt;=90),TENANTS!Q$4:Q$53),7),TENANTS!Q$4:Q$53,0)),"-")</f>
        <v>-</v>
      </c>
      <c r="D19" s="26"/>
      <c r="E19" s="26"/>
      <c r="F19" s="25" t="str">
        <f aca="false">IFERROR(INDEX(TENANTS!F$4:F$53,MATCH(SMALL(IF((TENANTS!Q$4:Q$53&gt;=0)*(TENANTS!Q$4:Q$53&lt;=90),TENANTS!Q$4:Q$53),7),TENANTS!Q$4:Q$53,0)),"-")</f>
        <v>-</v>
      </c>
      <c r="G19" s="25"/>
      <c r="H19" s="27" t="str">
        <f aca="false">IFERROR(INDEX(TENANTS!J$4:J$53,MATCH(SMALL(IF((TENANTS!Q$4:Q$53&gt;=0)*(TENANTS!Q$4:Q$53&lt;=90),TENANTS!Q$4:Q$53),7),TENANTS!Q$4:Q$53,0)),"-")</f>
        <v>-</v>
      </c>
      <c r="I19" s="27"/>
      <c r="J19" s="28" t="str">
        <f aca="false">IFERROR(SMALL(IF((TENANTS!Q$4:Q$53&gt;=0)*(TENANTS!Q$4:Q$53&lt;=90),TENANTS!Q$4:Q$53),7),"-")</f>
        <v>-</v>
      </c>
      <c r="K19" s="28"/>
      <c r="L19" s="29" t="str">
        <f aca="false">IFERROR(INDEX(TENANTS!R$4:R$53,MATCH(SMALL(IF((TENANTS!Q$4:Q$53&gt;=0)*(TENANTS!Q$4:Q$53&lt;=90),TENANTS!Q$4:Q$53),7),TENANTS!Q$4:Q$53,0)),"-")</f>
        <v>-</v>
      </c>
      <c r="M19" s="29"/>
      <c r="N19" s="29"/>
    </row>
    <row r="20" customFormat="false" ht="18" hidden="false" customHeight="true" outlineLevel="0" collapsed="false">
      <c r="A20" s="30" t="str">
        <f aca="false">IFERROR(INDEX(TENANTS!A$4:A$53,MATCH(SMALL(IF((TENANTS!Q$4:Q$53&gt;=0)*(TENANTS!Q$4:Q$53&lt;=90),TENANTS!Q$4:Q$53),8),TENANTS!Q$4:Q$53,0)),"-")</f>
        <v>-</v>
      </c>
      <c r="B20" s="30"/>
      <c r="C20" s="31" t="str">
        <f aca="false">IFERROR(INDEX(TENANTS!B$4:B$53,MATCH(SMALL(IF((TENANTS!Q$4:Q$53&gt;=0)*(TENANTS!Q$4:Q$53&lt;=90),TENANTS!Q$4:Q$53),8),TENANTS!Q$4:Q$53,0)),"-")</f>
        <v>-</v>
      </c>
      <c r="D20" s="31"/>
      <c r="E20" s="31"/>
      <c r="F20" s="30" t="str">
        <f aca="false">IFERROR(INDEX(TENANTS!F$4:F$53,MATCH(SMALL(IF((TENANTS!Q$4:Q$53&gt;=0)*(TENANTS!Q$4:Q$53&lt;=90),TENANTS!Q$4:Q$53),8),TENANTS!Q$4:Q$53,0)),"-")</f>
        <v>-</v>
      </c>
      <c r="G20" s="30"/>
      <c r="H20" s="32" t="str">
        <f aca="false">IFERROR(INDEX(TENANTS!J$4:J$53,MATCH(SMALL(IF((TENANTS!Q$4:Q$53&gt;=0)*(TENANTS!Q$4:Q$53&lt;=90),TENANTS!Q$4:Q$53),8),TENANTS!Q$4:Q$53,0)),"-")</f>
        <v>-</v>
      </c>
      <c r="I20" s="32"/>
      <c r="J20" s="33" t="str">
        <f aca="false">IFERROR(SMALL(IF((TENANTS!Q$4:Q$53&gt;=0)*(TENANTS!Q$4:Q$53&lt;=90),TENANTS!Q$4:Q$53),8),"-")</f>
        <v>-</v>
      </c>
      <c r="K20" s="33"/>
      <c r="L20" s="34" t="str">
        <f aca="false">IFERROR(INDEX(TENANTS!R$4:R$53,MATCH(SMALL(IF((TENANTS!Q$4:Q$53&gt;=0)*(TENANTS!Q$4:Q$53&lt;=90),TENANTS!Q$4:Q$53),8),TENANTS!Q$4:Q$53,0)),"-")</f>
        <v>-</v>
      </c>
      <c r="M20" s="34"/>
      <c r="N20" s="34"/>
    </row>
    <row r="21" customFormat="false" ht="18" hidden="false" customHeight="true" outlineLevel="0" collapsed="false">
      <c r="A21" s="25" t="str">
        <f aca="false">IFERROR(INDEX(TENANTS!A$4:A$53,MATCH(SMALL(IF((TENANTS!Q$4:Q$53&gt;=0)*(TENANTS!Q$4:Q$53&lt;=90),TENANTS!Q$4:Q$53),9),TENANTS!Q$4:Q$53,0)),"-")</f>
        <v>-</v>
      </c>
      <c r="B21" s="25"/>
      <c r="C21" s="26" t="str">
        <f aca="false">IFERROR(INDEX(TENANTS!B$4:B$53,MATCH(SMALL(IF((TENANTS!Q$4:Q$53&gt;=0)*(TENANTS!Q$4:Q$53&lt;=90),TENANTS!Q$4:Q$53),9),TENANTS!Q$4:Q$53,0)),"-")</f>
        <v>-</v>
      </c>
      <c r="D21" s="26"/>
      <c r="E21" s="26"/>
      <c r="F21" s="25" t="str">
        <f aca="false">IFERROR(INDEX(TENANTS!F$4:F$53,MATCH(SMALL(IF((TENANTS!Q$4:Q$53&gt;=0)*(TENANTS!Q$4:Q$53&lt;=90),TENANTS!Q$4:Q$53),9),TENANTS!Q$4:Q$53,0)),"-")</f>
        <v>-</v>
      </c>
      <c r="G21" s="25"/>
      <c r="H21" s="27" t="str">
        <f aca="false">IFERROR(INDEX(TENANTS!J$4:J$53,MATCH(SMALL(IF((TENANTS!Q$4:Q$53&gt;=0)*(TENANTS!Q$4:Q$53&lt;=90),TENANTS!Q$4:Q$53),9),TENANTS!Q$4:Q$53,0)),"-")</f>
        <v>-</v>
      </c>
      <c r="I21" s="27"/>
      <c r="J21" s="28" t="str">
        <f aca="false">IFERROR(SMALL(IF((TENANTS!Q$4:Q$53&gt;=0)*(TENANTS!Q$4:Q$53&lt;=90),TENANTS!Q$4:Q$53),9),"-")</f>
        <v>-</v>
      </c>
      <c r="K21" s="28"/>
      <c r="L21" s="29" t="str">
        <f aca="false">IFERROR(INDEX(TENANTS!R$4:R$53,MATCH(SMALL(IF((TENANTS!Q$4:Q$53&gt;=0)*(TENANTS!Q$4:Q$53&lt;=90),TENANTS!Q$4:Q$53),9),TENANTS!Q$4:Q$53,0)),"-")</f>
        <v>-</v>
      </c>
      <c r="M21" s="29"/>
      <c r="N21" s="29"/>
    </row>
    <row r="22" customFormat="false" ht="18" hidden="false" customHeight="true" outlineLevel="0" collapsed="false">
      <c r="A22" s="30" t="str">
        <f aca="false">IFERROR(INDEX(TENANTS!A$4:A$53,MATCH(SMALL(IF((TENANTS!Q$4:Q$53&gt;=0)*(TENANTS!Q$4:Q$53&lt;=90),TENANTS!Q$4:Q$53),10),TENANTS!Q$4:Q$53,0)),"-")</f>
        <v>-</v>
      </c>
      <c r="B22" s="30"/>
      <c r="C22" s="31" t="str">
        <f aca="false">IFERROR(INDEX(TENANTS!B$4:B$53,MATCH(SMALL(IF((TENANTS!Q$4:Q$53&gt;=0)*(TENANTS!Q$4:Q$53&lt;=90),TENANTS!Q$4:Q$53),10),TENANTS!Q$4:Q$53,0)),"-")</f>
        <v>-</v>
      </c>
      <c r="D22" s="31"/>
      <c r="E22" s="31"/>
      <c r="F22" s="30" t="str">
        <f aca="false">IFERROR(INDEX(TENANTS!F$4:F$53,MATCH(SMALL(IF((TENANTS!Q$4:Q$53&gt;=0)*(TENANTS!Q$4:Q$53&lt;=90),TENANTS!Q$4:Q$53),10),TENANTS!Q$4:Q$53,0)),"-")</f>
        <v>-</v>
      </c>
      <c r="G22" s="30"/>
      <c r="H22" s="32" t="str">
        <f aca="false">IFERROR(INDEX(TENANTS!J$4:J$53,MATCH(SMALL(IF((TENANTS!Q$4:Q$53&gt;=0)*(TENANTS!Q$4:Q$53&lt;=90),TENANTS!Q$4:Q$53),10),TENANTS!Q$4:Q$53,0)),"-")</f>
        <v>-</v>
      </c>
      <c r="I22" s="32"/>
      <c r="J22" s="33" t="str">
        <f aca="false">IFERROR(SMALL(IF((TENANTS!Q$4:Q$53&gt;=0)*(TENANTS!Q$4:Q$53&lt;=90),TENANTS!Q$4:Q$53),10),"-")</f>
        <v>-</v>
      </c>
      <c r="K22" s="33"/>
      <c r="L22" s="34" t="str">
        <f aca="false">IFERROR(INDEX(TENANTS!R$4:R$53,MATCH(SMALL(IF((TENANTS!Q$4:Q$53&gt;=0)*(TENANTS!Q$4:Q$53&lt;=90),TENANTS!Q$4:Q$53),10),TENANTS!Q$4:Q$53,0)),"-")</f>
        <v>-</v>
      </c>
      <c r="M22" s="34"/>
      <c r="N22" s="34"/>
    </row>
    <row r="24" customFormat="false" ht="21.75" hidden="false" customHeight="true" outlineLevel="0" collapsed="false">
      <c r="A24" s="35" t="s">
        <v>23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</row>
    <row r="25" customFormat="false" ht="21.75" hidden="false" customHeight="true" outlineLevel="0" collapsed="false">
      <c r="A25" s="36" t="s">
        <v>24</v>
      </c>
      <c r="B25" s="36"/>
      <c r="C25" s="37" t="s">
        <v>25</v>
      </c>
      <c r="D25" s="37"/>
      <c r="E25" s="38" t="s">
        <v>26</v>
      </c>
      <c r="F25" s="38"/>
      <c r="G25" s="39" t="s">
        <v>27</v>
      </c>
      <c r="H25" s="39"/>
      <c r="I25" s="40" t="s">
        <v>28</v>
      </c>
      <c r="J25" s="40"/>
      <c r="K25" s="41" t="s">
        <v>29</v>
      </c>
      <c r="L25" s="41"/>
    </row>
    <row r="26" customFormat="false" ht="21.75" hidden="false" customHeight="true" outlineLevel="0" collapsed="false">
      <c r="A26" s="42" t="n">
        <f aca="false">COUNTIF(TENANTS!R$4:R$53,"Active")</f>
        <v>0</v>
      </c>
      <c r="B26" s="42"/>
      <c r="C26" s="43" t="n">
        <f aca="false">COUNTIF(TENANTS!R$4:R$53,"Active - Review")</f>
        <v>1</v>
      </c>
      <c r="D26" s="43"/>
      <c r="E26" s="44" t="n">
        <f aca="false">COUNTIF(TENANTS!R$4:R$53,"Expiring Soon")</f>
        <v>0</v>
      </c>
      <c r="F26" s="44"/>
      <c r="G26" s="45" t="n">
        <f aca="false">COUNTIF(TENANTS!R$4:R$53,"Expired")</f>
        <v>2</v>
      </c>
      <c r="H26" s="45"/>
      <c r="I26" s="46" t="n">
        <f aca="false">COUNTIF(TENANTS!R$4:R$53,"Terminated")</f>
        <v>0</v>
      </c>
      <c r="J26" s="46"/>
      <c r="K26" s="47" t="n">
        <f aca="false">COUNTIF(TENANTS!R$4:R$53,"Vacant")</f>
        <v>47</v>
      </c>
      <c r="L26" s="47"/>
    </row>
    <row r="27" customFormat="false" ht="21.75" hidden="false" customHeight="true" outlineLevel="0" collapsed="false">
      <c r="A27" s="42"/>
      <c r="B27" s="42"/>
      <c r="C27" s="43"/>
      <c r="D27" s="43"/>
      <c r="E27" s="44"/>
      <c r="F27" s="44"/>
      <c r="G27" s="45"/>
      <c r="H27" s="45"/>
      <c r="I27" s="46"/>
      <c r="J27" s="46"/>
      <c r="K27" s="47"/>
      <c r="L27" s="47"/>
    </row>
    <row r="29" customFormat="false" ht="21.75" hidden="false" customHeight="true" outlineLevel="0" collapsed="false">
      <c r="A29" s="48" t="s">
        <v>30</v>
      </c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customFormat="false" ht="27.75" hidden="false" customHeight="true" outlineLevel="0" collapsed="false">
      <c r="A30" s="49" t="s">
        <v>31</v>
      </c>
      <c r="B30" s="50" t="s">
        <v>32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customFormat="false" ht="27.75" hidden="false" customHeight="true" outlineLevel="0" collapsed="false">
      <c r="A31" s="49" t="s">
        <v>33</v>
      </c>
      <c r="B31" s="51" t="s">
        <v>34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</row>
    <row r="32" customFormat="false" ht="27.75" hidden="false" customHeight="true" outlineLevel="0" collapsed="false">
      <c r="A32" s="49" t="s">
        <v>35</v>
      </c>
      <c r="B32" s="50" t="s">
        <v>36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</row>
    <row r="33" customFormat="false" ht="27.75" hidden="false" customHeight="true" outlineLevel="0" collapsed="false">
      <c r="A33" s="49" t="s">
        <v>37</v>
      </c>
      <c r="B33" s="51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</row>
    <row r="34" customFormat="false" ht="27.75" hidden="false" customHeight="true" outlineLevel="0" collapsed="false">
      <c r="A34" s="49" t="s">
        <v>39</v>
      </c>
      <c r="B34" s="50" t="s">
        <v>40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customFormat="false" ht="27.75" hidden="false" customHeight="true" outlineLevel="0" collapsed="false">
      <c r="A35" s="49" t="s">
        <v>41</v>
      </c>
      <c r="B35" s="51" t="s">
        <v>42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</row>
  </sheetData>
  <mergeCells count="111">
    <mergeCell ref="A1:N1"/>
    <mergeCell ref="A2:N2"/>
    <mergeCell ref="A4:N4"/>
    <mergeCell ref="A5:B5"/>
    <mergeCell ref="C5:D5"/>
    <mergeCell ref="E5:F5"/>
    <mergeCell ref="G5:H5"/>
    <mergeCell ref="I5:J5"/>
    <mergeCell ref="K5:L5"/>
    <mergeCell ref="M5:N5"/>
    <mergeCell ref="A6:B8"/>
    <mergeCell ref="C6:D8"/>
    <mergeCell ref="E6:F8"/>
    <mergeCell ref="G6:H8"/>
    <mergeCell ref="I6:J8"/>
    <mergeCell ref="K6:L8"/>
    <mergeCell ref="M6:N8"/>
    <mergeCell ref="A9:B9"/>
    <mergeCell ref="C9:D9"/>
    <mergeCell ref="E9:F9"/>
    <mergeCell ref="G9:H9"/>
    <mergeCell ref="I9:J9"/>
    <mergeCell ref="K9:L9"/>
    <mergeCell ref="M9:N9"/>
    <mergeCell ref="A11:N11"/>
    <mergeCell ref="A12:B12"/>
    <mergeCell ref="C12:E12"/>
    <mergeCell ref="F12:G12"/>
    <mergeCell ref="H12:I12"/>
    <mergeCell ref="J12:K12"/>
    <mergeCell ref="L12:N12"/>
    <mergeCell ref="A13:B13"/>
    <mergeCell ref="C13:E13"/>
    <mergeCell ref="F13:G13"/>
    <mergeCell ref="H13:I13"/>
    <mergeCell ref="J13:K13"/>
    <mergeCell ref="L13:N13"/>
    <mergeCell ref="A14:B14"/>
    <mergeCell ref="C14:E14"/>
    <mergeCell ref="F14:G14"/>
    <mergeCell ref="H14:I14"/>
    <mergeCell ref="J14:K14"/>
    <mergeCell ref="L14:N14"/>
    <mergeCell ref="A15:B15"/>
    <mergeCell ref="C15:E15"/>
    <mergeCell ref="F15:G15"/>
    <mergeCell ref="H15:I15"/>
    <mergeCell ref="J15:K15"/>
    <mergeCell ref="L15:N15"/>
    <mergeCell ref="A16:B16"/>
    <mergeCell ref="C16:E16"/>
    <mergeCell ref="F16:G16"/>
    <mergeCell ref="H16:I16"/>
    <mergeCell ref="J16:K16"/>
    <mergeCell ref="L16:N16"/>
    <mergeCell ref="A17:B17"/>
    <mergeCell ref="C17:E17"/>
    <mergeCell ref="F17:G17"/>
    <mergeCell ref="H17:I17"/>
    <mergeCell ref="J17:K17"/>
    <mergeCell ref="L17:N17"/>
    <mergeCell ref="A18:B18"/>
    <mergeCell ref="C18:E18"/>
    <mergeCell ref="F18:G18"/>
    <mergeCell ref="H18:I18"/>
    <mergeCell ref="J18:K18"/>
    <mergeCell ref="L18:N18"/>
    <mergeCell ref="A19:B19"/>
    <mergeCell ref="C19:E19"/>
    <mergeCell ref="F19:G19"/>
    <mergeCell ref="H19:I19"/>
    <mergeCell ref="J19:K19"/>
    <mergeCell ref="L19:N19"/>
    <mergeCell ref="A20:B20"/>
    <mergeCell ref="C20:E20"/>
    <mergeCell ref="F20:G20"/>
    <mergeCell ref="H20:I20"/>
    <mergeCell ref="J20:K20"/>
    <mergeCell ref="L20:N20"/>
    <mergeCell ref="A21:B21"/>
    <mergeCell ref="C21:E21"/>
    <mergeCell ref="F21:G21"/>
    <mergeCell ref="H21:I21"/>
    <mergeCell ref="J21:K21"/>
    <mergeCell ref="L21:N21"/>
    <mergeCell ref="A22:B22"/>
    <mergeCell ref="C22:E22"/>
    <mergeCell ref="F22:G22"/>
    <mergeCell ref="H22:I22"/>
    <mergeCell ref="J22:K22"/>
    <mergeCell ref="L22:N22"/>
    <mergeCell ref="A24:N24"/>
    <mergeCell ref="A25:B25"/>
    <mergeCell ref="C25:D25"/>
    <mergeCell ref="E25:F25"/>
    <mergeCell ref="G25:H25"/>
    <mergeCell ref="I25:J25"/>
    <mergeCell ref="K25:L25"/>
    <mergeCell ref="A26:B27"/>
    <mergeCell ref="C26:D27"/>
    <mergeCell ref="E26:F27"/>
    <mergeCell ref="G26:H27"/>
    <mergeCell ref="I26:J27"/>
    <mergeCell ref="K26:L27"/>
    <mergeCell ref="A29:N29"/>
    <mergeCell ref="B30:N30"/>
    <mergeCell ref="B31:N31"/>
    <mergeCell ref="B32:N32"/>
    <mergeCell ref="B33:N33"/>
    <mergeCell ref="B34:N34"/>
    <mergeCell ref="B35:N3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43</v>
      </c>
      <c r="B1" s="0" t="s">
        <v>44</v>
      </c>
    </row>
    <row r="2" customFormat="false" ht="15" hidden="false" customHeight="false" outlineLevel="0" collapsed="false">
      <c r="A2" s="0" t="s">
        <v>45</v>
      </c>
      <c r="B2" s="0" t="s">
        <v>46</v>
      </c>
    </row>
    <row r="3" customFormat="false" ht="15" hidden="false" customHeight="false" outlineLevel="0" collapsed="false">
      <c r="B3" s="0" t="s">
        <v>47</v>
      </c>
    </row>
    <row r="4" customFormat="false" ht="15" hidden="false" customHeight="false" outlineLevel="0" collapsed="false">
      <c r="B4" s="0" t="s">
        <v>48</v>
      </c>
    </row>
    <row r="5" customFormat="false" ht="15" hidden="false" customHeight="false" outlineLevel="0" collapsed="false">
      <c r="B5" s="0" t="s">
        <v>49</v>
      </c>
    </row>
    <row r="6" customFormat="false" ht="15" hidden="false" customHeight="false" outlineLevel="0" collapsed="false">
      <c r="B6" s="0" t="s">
        <v>50</v>
      </c>
    </row>
    <row r="7" customFormat="false" ht="15" hidden="false" customHeight="false" outlineLevel="0" collapsed="false">
      <c r="B7" s="0" t="s">
        <v>51</v>
      </c>
    </row>
    <row r="8" customFormat="false" ht="15" hidden="false" customHeight="false" outlineLevel="0" collapsed="false">
      <c r="B8" s="0" t="s">
        <v>52</v>
      </c>
    </row>
    <row r="9" customFormat="false" ht="15" hidden="false" customHeight="false" outlineLevel="0" collapsed="false">
      <c r="A9" s="0" t="s">
        <v>53</v>
      </c>
      <c r="B9" s="0" t="s">
        <v>24</v>
      </c>
    </row>
    <row r="10" customFormat="false" ht="15" hidden="false" customHeight="false" outlineLevel="0" collapsed="false">
      <c r="B10" s="0" t="s">
        <v>54</v>
      </c>
    </row>
    <row r="11" customFormat="false" ht="15" hidden="false" customHeight="false" outlineLevel="0" collapsed="false">
      <c r="B11" s="0" t="s">
        <v>27</v>
      </c>
    </row>
    <row r="12" customFormat="false" ht="15" hidden="false" customHeight="false" outlineLevel="0" collapsed="false">
      <c r="B12" s="0" t="s">
        <v>28</v>
      </c>
    </row>
    <row r="13" customFormat="false" ht="15" hidden="false" customHeight="false" outlineLevel="0" collapsed="false">
      <c r="B13" s="0" t="s">
        <v>29</v>
      </c>
    </row>
    <row r="14" customFormat="false" ht="15" hidden="false" customHeight="false" outlineLevel="0" collapsed="false">
      <c r="A14" s="0" t="s">
        <v>55</v>
      </c>
      <c r="B14" s="0" t="s">
        <v>56</v>
      </c>
    </row>
    <row r="15" customFormat="false" ht="15" hidden="false" customHeight="false" outlineLevel="0" collapsed="false">
      <c r="B15" s="0" t="s">
        <v>57</v>
      </c>
    </row>
    <row r="16" customFormat="false" ht="15" hidden="false" customHeight="false" outlineLevel="0" collapsed="false">
      <c r="B16" s="0" t="s">
        <v>58</v>
      </c>
    </row>
    <row r="17" customFormat="false" ht="15" hidden="false" customHeight="false" outlineLevel="0" collapsed="false">
      <c r="B17" s="0" t="s">
        <v>59</v>
      </c>
    </row>
    <row r="18" customFormat="false" ht="15" hidden="false" customHeight="false" outlineLevel="0" collapsed="false">
      <c r="A18" s="0" t="s">
        <v>60</v>
      </c>
      <c r="B18" s="0" t="s">
        <v>61</v>
      </c>
    </row>
    <row r="19" customFormat="false" ht="15" hidden="false" customHeight="false" outlineLevel="0" collapsed="false">
      <c r="B19" s="0" t="s">
        <v>62</v>
      </c>
    </row>
    <row r="20" customFormat="false" ht="15" hidden="false" customHeight="false" outlineLevel="0" collapsed="false">
      <c r="B20" s="0" t="s">
        <v>63</v>
      </c>
    </row>
    <row r="21" customFormat="false" ht="15" hidden="false" customHeight="false" outlineLevel="0" collapsed="false">
      <c r="B21" s="0" t="s">
        <v>64</v>
      </c>
    </row>
    <row r="22" customFormat="false" ht="15" hidden="false" customHeight="false" outlineLevel="0" collapsed="false">
      <c r="B22" s="0" t="s">
        <v>65</v>
      </c>
    </row>
    <row r="23" customFormat="false" ht="15" hidden="false" customHeight="false" outlineLevel="0" collapsed="false">
      <c r="A23" s="0" t="s">
        <v>66</v>
      </c>
      <c r="B23" s="0" t="s">
        <v>67</v>
      </c>
    </row>
    <row r="24" customFormat="false" ht="15" hidden="false" customHeight="false" outlineLevel="0" collapsed="false">
      <c r="B24" s="0" t="s">
        <v>68</v>
      </c>
    </row>
    <row r="25" customFormat="false" ht="15" hidden="false" customHeight="false" outlineLevel="0" collapsed="false">
      <c r="B25" s="0" t="s">
        <v>69</v>
      </c>
    </row>
    <row r="26" customFormat="false" ht="15" hidden="false" customHeight="false" outlineLevel="0" collapsed="false">
      <c r="B26" s="0" t="s">
        <v>70</v>
      </c>
    </row>
    <row r="27" customFormat="false" ht="15" hidden="false" customHeight="false" outlineLevel="0" collapsed="false">
      <c r="B27" s="0" t="s">
        <v>71</v>
      </c>
    </row>
    <row r="28" customFormat="false" ht="15" hidden="false" customHeight="false" outlineLevel="0" collapsed="false">
      <c r="A28" s="0" t="s">
        <v>72</v>
      </c>
      <c r="B28" s="0" t="s">
        <v>73</v>
      </c>
    </row>
    <row r="29" customFormat="false" ht="15" hidden="false" customHeight="false" outlineLevel="0" collapsed="false">
      <c r="B29" s="0" t="s">
        <v>74</v>
      </c>
    </row>
    <row r="30" customFormat="false" ht="15" hidden="false" customHeight="false" outlineLevel="0" collapsed="false">
      <c r="A30" s="0" t="s">
        <v>75</v>
      </c>
      <c r="B30" s="0" t="s">
        <v>76</v>
      </c>
    </row>
    <row r="31" customFormat="false" ht="15" hidden="false" customHeight="false" outlineLevel="0" collapsed="false">
      <c r="B31" s="0" t="s">
        <v>24</v>
      </c>
    </row>
    <row r="32" customFormat="false" ht="15" hidden="false" customHeight="false" outlineLevel="0" collapsed="false">
      <c r="B32" s="0" t="s">
        <v>26</v>
      </c>
    </row>
    <row r="33" customFormat="false" ht="15" hidden="false" customHeight="false" outlineLevel="0" collapsed="false">
      <c r="B33" s="0" t="s">
        <v>27</v>
      </c>
    </row>
    <row r="34" customFormat="false" ht="15" hidden="false" customHeight="false" outlineLevel="0" collapsed="false">
      <c r="B34" s="0" t="s">
        <v>29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A589"/>
    <pageSetUpPr fitToPage="true"/>
  </sheetPr>
  <dimension ref="A1:L4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1"/>
    <col collapsed="false" customWidth="true" hidden="false" outlineLevel="0" max="2" min="2" style="0" width="20"/>
    <col collapsed="false" customWidth="true" hidden="false" outlineLevel="0" max="3" min="3" style="0" width="24"/>
    <col collapsed="false" customWidth="true" hidden="false" outlineLevel="0" max="4" min="4" style="0" width="10"/>
    <col collapsed="false" customWidth="true" hidden="false" outlineLevel="0" max="5" min="5" style="0" width="16"/>
    <col collapsed="false" customWidth="true" hidden="false" outlineLevel="0" max="6" min="6" style="0" width="24"/>
    <col collapsed="false" customWidth="true" hidden="false" outlineLevel="0" max="7" min="7" style="0" width="12"/>
    <col collapsed="false" customWidth="true" hidden="false" outlineLevel="0" max="8" min="8" style="0" width="16"/>
    <col collapsed="false" customWidth="true" hidden="false" outlineLevel="0" max="9" min="9" style="0" width="24"/>
    <col collapsed="false" customWidth="true" hidden="false" outlineLevel="0" max="10" min="10" style="0" width="14"/>
    <col collapsed="false" customWidth="true" hidden="false" outlineLevel="0" max="11" min="11" style="0" width="18"/>
    <col collapsed="false" customWidth="true" hidden="false" outlineLevel="0" max="12" min="12" style="0" width="14"/>
  </cols>
  <sheetData>
    <row r="1" customFormat="false" ht="30" hidden="false" customHeight="true" outlineLevel="0" collapsed="false">
      <c r="A1" s="52" t="s">
        <v>77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</row>
    <row r="2" customFormat="false" ht="15" hidden="false" customHeight="false" outlineLevel="0" collapsed="false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</row>
    <row r="3" customFormat="false" ht="15" hidden="false" customHeight="false" outlineLevel="0" collapsed="false">
      <c r="A3" s="54" t="s">
        <v>78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</row>
    <row r="4" customFormat="false" ht="15" hidden="false" customHeight="false" outlineLevel="0" collapsed="false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</row>
    <row r="5" customFormat="false" ht="15" hidden="false" customHeight="false" outlineLevel="0" collapsed="false">
      <c r="A5" s="55"/>
      <c r="B5" s="56" t="s">
        <v>17</v>
      </c>
      <c r="C5" s="57" t="s">
        <v>79</v>
      </c>
      <c r="D5" s="55"/>
      <c r="E5" s="58" t="s">
        <v>80</v>
      </c>
      <c r="F5" s="59"/>
      <c r="G5" s="55"/>
      <c r="H5" s="56" t="s">
        <v>81</v>
      </c>
      <c r="I5" s="60"/>
      <c r="J5" s="55"/>
      <c r="K5" s="55"/>
      <c r="L5" s="55"/>
    </row>
    <row r="6" customFormat="false" ht="15" hidden="false" customHeight="false" outlineLevel="0" collapsed="false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customFormat="false" ht="15" hidden="false" customHeight="false" outlineLevel="0" collapsed="false">
      <c r="A7" s="55"/>
      <c r="B7" s="56" t="s">
        <v>82</v>
      </c>
      <c r="C7" s="60"/>
      <c r="D7" s="55"/>
      <c r="E7" s="58" t="s">
        <v>83</v>
      </c>
      <c r="F7" s="59"/>
      <c r="G7" s="55"/>
      <c r="H7" s="56" t="s">
        <v>84</v>
      </c>
      <c r="I7" s="60"/>
      <c r="J7" s="55"/>
      <c r="K7" s="55"/>
      <c r="L7" s="55"/>
    </row>
    <row r="8" customFormat="false" ht="15" hidden="false" customHeight="false" outlineLevel="0" collapsed="false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</row>
    <row r="9" customFormat="false" ht="15" hidden="false" customHeight="false" outlineLevel="0" collapsed="false">
      <c r="A9" s="55"/>
      <c r="B9" s="56" t="s">
        <v>85</v>
      </c>
      <c r="C9" s="60"/>
      <c r="D9" s="55"/>
      <c r="E9" s="56" t="s">
        <v>86</v>
      </c>
      <c r="F9" s="61"/>
      <c r="G9" s="55"/>
      <c r="H9" s="56" t="s">
        <v>87</v>
      </c>
      <c r="I9" s="60"/>
      <c r="J9" s="55"/>
      <c r="K9" s="55"/>
      <c r="L9" s="55"/>
    </row>
    <row r="10" customFormat="false" ht="15" hidden="false" customHeight="false" outlineLevel="0" collapsed="false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</row>
    <row r="11" customFormat="false" ht="15" hidden="false" customHeight="false" outlineLevel="0" collapsed="false">
      <c r="A11" s="55"/>
      <c r="B11" s="56" t="s">
        <v>88</v>
      </c>
      <c r="C11" s="60"/>
      <c r="D11" s="55"/>
      <c r="E11" s="56" t="s">
        <v>60</v>
      </c>
      <c r="F11" s="60"/>
      <c r="G11" s="55"/>
      <c r="H11" s="55"/>
      <c r="I11" s="55"/>
      <c r="J11" s="55"/>
      <c r="K11" s="55"/>
      <c r="L11" s="55"/>
    </row>
    <row r="12" customFormat="false" ht="15" hidden="false" customHeight="true" outlineLevel="0" collapsed="false">
      <c r="A12" s="55"/>
      <c r="B12" s="55"/>
      <c r="C12" s="55"/>
      <c r="D12" s="55"/>
      <c r="E12" s="55"/>
      <c r="F12" s="55"/>
      <c r="G12" s="55"/>
      <c r="H12" s="62" t="s">
        <v>89</v>
      </c>
      <c r="I12" s="62"/>
      <c r="J12" s="62"/>
      <c r="K12" s="62"/>
      <c r="L12" s="55"/>
    </row>
    <row r="13" customFormat="false" ht="15" hidden="false" customHeight="false" outlineLevel="0" collapsed="false">
      <c r="A13" s="55"/>
      <c r="B13" s="56" t="s">
        <v>90</v>
      </c>
      <c r="C13" s="60"/>
      <c r="D13" s="55"/>
      <c r="E13" s="56" t="s">
        <v>91</v>
      </c>
      <c r="F13" s="60"/>
      <c r="G13" s="55"/>
      <c r="H13" s="62"/>
      <c r="I13" s="62"/>
      <c r="J13" s="62"/>
      <c r="K13" s="62"/>
      <c r="L13" s="55"/>
    </row>
    <row r="14" customFormat="false" ht="15" hidden="false" customHeight="false" outlineLevel="0" collapsed="false">
      <c r="A14" s="55"/>
      <c r="B14" s="55"/>
      <c r="C14" s="55"/>
      <c r="D14" s="55"/>
      <c r="E14" s="55"/>
      <c r="F14" s="55"/>
      <c r="G14" s="55"/>
      <c r="H14" s="62"/>
      <c r="I14" s="62"/>
      <c r="J14" s="62"/>
      <c r="K14" s="62"/>
      <c r="L14" s="55"/>
    </row>
    <row r="15" customFormat="false" ht="15" hidden="false" customHeight="false" outlineLevel="0" collapsed="false">
      <c r="A15" s="55"/>
      <c r="B15" s="56" t="s">
        <v>92</v>
      </c>
      <c r="C15" s="60"/>
      <c r="D15" s="55"/>
      <c r="E15" s="56" t="s">
        <v>93</v>
      </c>
      <c r="F15" s="61"/>
      <c r="G15" s="55"/>
      <c r="H15" s="62"/>
      <c r="I15" s="62"/>
      <c r="J15" s="62"/>
      <c r="K15" s="62"/>
      <c r="L15" s="55"/>
    </row>
    <row r="16" customFormat="false" ht="15" hidden="false" customHeight="false" outlineLevel="0" collapsed="false">
      <c r="A16" s="55"/>
      <c r="B16" s="55"/>
      <c r="C16" s="55"/>
      <c r="D16" s="55"/>
      <c r="E16" s="55"/>
      <c r="F16" s="55"/>
      <c r="G16" s="55"/>
      <c r="H16" s="62"/>
      <c r="I16" s="62"/>
      <c r="J16" s="62"/>
      <c r="K16" s="62"/>
      <c r="L16" s="55"/>
    </row>
    <row r="17" customFormat="false" ht="15" hidden="false" customHeight="false" outlineLevel="0" collapsed="false">
      <c r="A17" s="55"/>
      <c r="B17" s="56" t="s">
        <v>94</v>
      </c>
      <c r="C17" s="60"/>
      <c r="D17" s="55"/>
      <c r="E17" s="56" t="s">
        <v>95</v>
      </c>
      <c r="F17" s="60"/>
      <c r="G17" s="55"/>
      <c r="H17" s="62"/>
      <c r="I17" s="62"/>
      <c r="J17" s="62"/>
      <c r="K17" s="62"/>
      <c r="L17" s="55"/>
    </row>
    <row r="18" customFormat="false" ht="15" hidden="false" customHeight="false" outlineLevel="0" collapsed="false">
      <c r="A18" s="55"/>
      <c r="B18" s="55"/>
      <c r="C18" s="55"/>
      <c r="D18" s="55"/>
      <c r="E18" s="55"/>
      <c r="F18" s="55"/>
      <c r="G18" s="55"/>
      <c r="H18" s="62"/>
      <c r="I18" s="62"/>
      <c r="J18" s="62"/>
      <c r="K18" s="62"/>
      <c r="L18" s="55"/>
    </row>
    <row r="19" customFormat="false" ht="15" hidden="false" customHeight="false" outlineLevel="0" collapsed="false">
      <c r="A19" s="55"/>
      <c r="B19" s="56" t="s">
        <v>96</v>
      </c>
      <c r="C19" s="60"/>
      <c r="D19" s="55"/>
      <c r="E19" s="56" t="s">
        <v>97</v>
      </c>
      <c r="F19" s="60"/>
      <c r="G19" s="55"/>
      <c r="H19" s="62"/>
      <c r="I19" s="62"/>
      <c r="J19" s="62"/>
      <c r="K19" s="62"/>
      <c r="L19" s="55"/>
    </row>
    <row r="20" customFormat="false" ht="15" hidden="false" customHeight="false" outlineLevel="0" collapsed="false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</row>
    <row r="21" customFormat="false" ht="15" hidden="false" customHeight="false" outlineLevel="0" collapsed="false">
      <c r="A21" s="55"/>
      <c r="B21" s="55"/>
      <c r="C21" s="55"/>
      <c r="D21" s="55"/>
      <c r="E21" s="55"/>
      <c r="F21" s="55"/>
      <c r="G21" s="55"/>
      <c r="H21" s="63" t="s">
        <v>98</v>
      </c>
      <c r="I21" s="63"/>
      <c r="J21" s="63"/>
      <c r="K21" s="63"/>
      <c r="L21" s="55"/>
    </row>
    <row r="22" customFormat="false" ht="15" hidden="false" customHeight="false" outlineLevel="0" collapsed="false">
      <c r="A22" s="55"/>
      <c r="B22" s="55"/>
      <c r="C22" s="55"/>
      <c r="D22" s="55"/>
      <c r="E22" s="55"/>
      <c r="F22" s="55"/>
      <c r="G22" s="55"/>
      <c r="H22" s="63"/>
      <c r="I22" s="63"/>
      <c r="J22" s="63"/>
      <c r="K22" s="63"/>
      <c r="L22" s="55"/>
    </row>
    <row r="23" customFormat="false" ht="15" hidden="false" customHeight="false" outlineLevel="0" collapsed="false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</row>
    <row r="24" customFormat="false" ht="15" hidden="false" customHeight="false" outlineLevel="0" collapsed="false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</row>
    <row r="25" customFormat="false" ht="21.75" hidden="false" customHeight="true" outlineLevel="0" collapsed="false">
      <c r="A25" s="55"/>
      <c r="B25" s="56" t="s">
        <v>99</v>
      </c>
      <c r="C25" s="64"/>
      <c r="D25" s="64"/>
      <c r="E25" s="64"/>
      <c r="F25" s="64"/>
      <c r="G25" s="65" t="s">
        <v>76</v>
      </c>
      <c r="H25" s="65"/>
      <c r="I25" s="66" t="s">
        <v>99</v>
      </c>
      <c r="J25" s="66"/>
      <c r="K25" s="55"/>
      <c r="L25" s="55"/>
    </row>
    <row r="26" customFormat="false" ht="15" hidden="false" customHeight="false" outlineLevel="0" collapsed="false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</row>
    <row r="27" customFormat="false" ht="15" hidden="false" customHeight="false" outlineLevel="0" collapsed="false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</row>
    <row r="28" customFormat="false" ht="15" hidden="false" customHeight="false" outlineLevel="0" collapsed="false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</row>
    <row r="29" customFormat="false" ht="15" hidden="false" customHeight="false" outlineLevel="0" collapsed="false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</row>
    <row r="30" customFormat="false" ht="15" hidden="false" customHeight="false" outlineLevel="0" collapsed="false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</row>
    <row r="31" customFormat="false" ht="15" hidden="false" customHeight="false" outlineLevel="0" collapsed="false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</row>
    <row r="32" customFormat="false" ht="15" hidden="false" customHeight="false" outlineLevel="0" collapsed="false">
      <c r="A32" s="67" t="s">
        <v>100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</row>
    <row r="33" customFormat="false" ht="15" hidden="false" customHeight="false" outlineLevel="0" collapsed="false">
      <c r="A33" s="68" t="s">
        <v>17</v>
      </c>
      <c r="B33" s="68" t="s">
        <v>101</v>
      </c>
      <c r="C33" s="68" t="s">
        <v>102</v>
      </c>
      <c r="D33" s="68" t="s">
        <v>103</v>
      </c>
      <c r="E33" s="68" t="s">
        <v>60</v>
      </c>
      <c r="F33" s="68" t="s">
        <v>20</v>
      </c>
      <c r="G33" s="68" t="s">
        <v>22</v>
      </c>
      <c r="H33" s="68" t="s">
        <v>85</v>
      </c>
      <c r="I33" s="68" t="s">
        <v>81</v>
      </c>
      <c r="J33" s="68" t="s">
        <v>87</v>
      </c>
      <c r="K33" s="68" t="s">
        <v>104</v>
      </c>
      <c r="L33" s="68" t="s">
        <v>95</v>
      </c>
    </row>
    <row r="34" customFormat="false" ht="15" hidden="false" customHeight="false" outlineLevel="0" collapsed="false">
      <c r="A34" s="69" t="str">
        <f aca="false">IFERROR(INDEX(TENANTS!A$4:A$53,1),"")</f>
        <v>T-001</v>
      </c>
      <c r="B34" s="69" t="str">
        <f aca="false">IFERROR(INDEX(TENANTS!B$4:B$53,1),"")</f>
        <v>Kwame Mensah Enterprises</v>
      </c>
      <c r="C34" s="69" t="str">
        <f aca="false">IFERROR(INDEX(TENANTS!F$4:F$53,1),"")</f>
        <v>A-101</v>
      </c>
      <c r="D34" s="70" t="n">
        <f aca="false">IFERROR(INDEX(TENANTS!L$4:L$53,1),"")</f>
        <v>3500</v>
      </c>
      <c r="E34" s="69" t="str">
        <f aca="false">IFERROR(INDEX(TENANTS!M$4:M$53,1),"")</f>
        <v>GHS</v>
      </c>
      <c r="F34" s="71" t="n">
        <f aca="false">IFERROR(INDEX(TENANTS!J$4:J$53,1),"")</f>
        <v>45657</v>
      </c>
      <c r="G34" s="69" t="str">
        <f aca="false">IFERROR(INDEX(TENANTS!R$4:R$53,1),"")</f>
        <v>Expired</v>
      </c>
      <c r="H34" s="69" t="str">
        <f aca="false">IFERROR(INDEX(TENANTS!C$4:C$53,1),"")</f>
        <v>0244123456</v>
      </c>
      <c r="I34" s="69" t="str">
        <f aca="false">IFERROR(INDEX(TENANTS!S$4:S$53,1),"")</f>
        <v>Ama Mensah</v>
      </c>
      <c r="J34" s="69" t="str">
        <f aca="false">IFERROR(INDEX(TENANTS!U$4:U$53,1),"")</f>
        <v>0244999111</v>
      </c>
      <c r="K34" s="69" t="str">
        <f aca="false">IFERROR(INDEX(TENANTS!V$4:V$53,1),"")</f>
        <v>12 Ridge Road, Kumasi</v>
      </c>
      <c r="L34" s="69" t="str">
        <f aca="false">IFERROR(INDEX(TENANTS!P$4:P$53,1),"")</f>
        <v>Bank Transfer</v>
      </c>
    </row>
    <row r="35" customFormat="false" ht="15" hidden="false" customHeight="false" outlineLevel="0" collapsed="false">
      <c r="A35" s="72" t="str">
        <f aca="false">IFERROR(INDEX(TENANTS!A$4:A$53,2),"")</f>
        <v>T-002</v>
      </c>
      <c r="B35" s="72" t="str">
        <f aca="false">IFERROR(INDEX(TENANTS!B$4:B$53,2),"")</f>
        <v>Simeon Boison</v>
      </c>
      <c r="C35" s="72" t="str">
        <f aca="false">IFERROR(INDEX(TENANTS!F$4:F$53,2),"")</f>
        <v>B-204</v>
      </c>
      <c r="D35" s="73" t="n">
        <f aca="false">IFERROR(INDEX(TENANTS!L$4:L$53,2),"")</f>
        <v>2800</v>
      </c>
      <c r="E35" s="72" t="str">
        <f aca="false">IFERROR(INDEX(TENANTS!M$4:M$53,2),"")</f>
        <v>GHS</v>
      </c>
      <c r="F35" s="74" t="n">
        <f aca="false">IFERROR(INDEX(TENANTS!J$4:J$53,2),"")</f>
        <v>46249</v>
      </c>
      <c r="G35" s="72" t="str">
        <f aca="false">IFERROR(INDEX(TENANTS!R$4:R$53,2),"")</f>
        <v>Active - Review</v>
      </c>
      <c r="H35" s="72" t="str">
        <f aca="false">IFERROR(INDEX(TENANTS!C$4:C$53,2),"")</f>
        <v>0598833244</v>
      </c>
      <c r="I35" s="72" t="str">
        <f aca="false">IFERROR(INDEX(TENANTS!S$4:S$53,2),"")</f>
        <v>Yaw Boison</v>
      </c>
      <c r="J35" s="72" t="str">
        <f aca="false">IFERROR(INDEX(TENANTS!U$4:U$53,2),"")</f>
        <v>0209988112</v>
      </c>
      <c r="K35" s="72" t="str">
        <f aca="false">IFERROR(INDEX(TENANTS!V$4:V$53,2),"")</f>
        <v>5 Adum Street, Kumasi</v>
      </c>
      <c r="L35" s="72" t="str">
        <f aca="false">IFERROR(INDEX(TENANTS!P$4:P$53,2),"")</f>
        <v>Mobile Money</v>
      </c>
    </row>
    <row r="36" customFormat="false" ht="15" hidden="false" customHeight="false" outlineLevel="0" collapsed="false">
      <c r="A36" s="69" t="str">
        <f aca="false">IFERROR(INDEX(TENANTS!A$4:A$53,3),"")</f>
        <v>T-003</v>
      </c>
      <c r="B36" s="69" t="str">
        <f aca="false">IFERROR(INDEX(TENANTS!B$4:B$53,3),"")</f>
        <v>Benjamin Darko</v>
      </c>
      <c r="C36" s="69" t="str">
        <f aca="false">IFERROR(INDEX(TENANTS!F$4:F$53,3),"")</f>
        <v>C-010</v>
      </c>
      <c r="D36" s="70" t="n">
        <f aca="false">IFERROR(INDEX(TENANTS!L$4:L$53,3),"")</f>
        <v>4100</v>
      </c>
      <c r="E36" s="69" t="str">
        <f aca="false">IFERROR(INDEX(TENANTS!M$4:M$53,3),"")</f>
        <v>GHS</v>
      </c>
      <c r="F36" s="71" t="n">
        <f aca="false">IFERROR(INDEX(TENANTS!J$4:J$53,3),"")</f>
        <v>46024</v>
      </c>
      <c r="G36" s="69" t="str">
        <f aca="false">IFERROR(INDEX(TENANTS!R$4:R$53,3),"")</f>
        <v>Expired</v>
      </c>
      <c r="H36" s="69" t="str">
        <f aca="false">IFERROR(INDEX(TENANTS!C$4:C$53,3),"")</f>
        <v>0545921808</v>
      </c>
      <c r="I36" s="69" t="str">
        <f aca="false">IFERROR(INDEX(TENANTS!S$4:S$53,3),"")</f>
        <v>Grace Darko</v>
      </c>
      <c r="J36" s="69" t="str">
        <f aca="false">IFERROR(INDEX(TENANTS!U$4:U$53,3),"")</f>
        <v>0271234567</v>
      </c>
      <c r="K36" s="69" t="str">
        <f aca="false">IFERROR(INDEX(TENANTS!V$4:V$53,3),"")</f>
        <v>22 Tafo Road, Kumasi</v>
      </c>
      <c r="L36" s="69" t="str">
        <f aca="false">IFERROR(INDEX(TENANTS!P$4:P$53,3),"")</f>
        <v>Cash</v>
      </c>
    </row>
    <row r="37" customFormat="false" ht="15" hidden="false" customHeight="false" outlineLevel="0" collapsed="false">
      <c r="A37" s="72" t="n">
        <f aca="false">IFERROR(INDEX(TENANTS!A$4:A$53,4),"")</f>
        <v>0</v>
      </c>
      <c r="B37" s="72" t="n">
        <f aca="false">IFERROR(INDEX(TENANTS!B$4:B$53,4),"")</f>
        <v>0</v>
      </c>
      <c r="C37" s="72" t="n">
        <f aca="false">IFERROR(INDEX(TENANTS!F$4:F$53,4),"")</f>
        <v>0</v>
      </c>
      <c r="D37" s="73" t="n">
        <f aca="false">IFERROR(INDEX(TENANTS!L$4:L$53,4),"")</f>
        <v>0</v>
      </c>
      <c r="E37" s="72" t="n">
        <f aca="false">IFERROR(INDEX(TENANTS!M$4:M$53,4),"")</f>
        <v>0</v>
      </c>
      <c r="F37" s="74" t="n">
        <f aca="false">IFERROR(INDEX(TENANTS!J$4:J$53,4),"")</f>
        <v>0</v>
      </c>
      <c r="G37" s="72" t="str">
        <f aca="false">IFERROR(INDEX(TENANTS!R$4:R$53,4),"")</f>
        <v>Vacant</v>
      </c>
      <c r="H37" s="72" t="n">
        <f aca="false">IFERROR(INDEX(TENANTS!C$4:C$53,4),"")</f>
        <v>0</v>
      </c>
      <c r="I37" s="72" t="n">
        <f aca="false">IFERROR(INDEX(TENANTS!S$4:S$53,4),"")</f>
        <v>0</v>
      </c>
      <c r="J37" s="72" t="n">
        <f aca="false">IFERROR(INDEX(TENANTS!U$4:U$53,4),"")</f>
        <v>0</v>
      </c>
      <c r="K37" s="72" t="n">
        <f aca="false">IFERROR(INDEX(TENANTS!V$4:V$53,4),"")</f>
        <v>0</v>
      </c>
      <c r="L37" s="72" t="n">
        <f aca="false">IFERROR(INDEX(TENANTS!P$4:P$53,4),"")</f>
        <v>0</v>
      </c>
    </row>
    <row r="38" customFormat="false" ht="15" hidden="false" customHeight="false" outlineLevel="0" collapsed="false">
      <c r="A38" s="69" t="n">
        <f aca="false">IFERROR(INDEX(TENANTS!A$4:A$53,5),"")</f>
        <v>0</v>
      </c>
      <c r="B38" s="69" t="n">
        <f aca="false">IFERROR(INDEX(TENANTS!B$4:B$53,5),"")</f>
        <v>0</v>
      </c>
      <c r="C38" s="69" t="n">
        <f aca="false">IFERROR(INDEX(TENANTS!F$4:F$53,5),"")</f>
        <v>0</v>
      </c>
      <c r="D38" s="70" t="n">
        <f aca="false">IFERROR(INDEX(TENANTS!L$4:L$53,5),"")</f>
        <v>0</v>
      </c>
      <c r="E38" s="69" t="n">
        <f aca="false">IFERROR(INDEX(TENANTS!M$4:M$53,5),"")</f>
        <v>0</v>
      </c>
      <c r="F38" s="71" t="n">
        <f aca="false">IFERROR(INDEX(TENANTS!J$4:J$53,5),"")</f>
        <v>0</v>
      </c>
      <c r="G38" s="69" t="str">
        <f aca="false">IFERROR(INDEX(TENANTS!R$4:R$53,5),"")</f>
        <v>Vacant</v>
      </c>
      <c r="H38" s="69" t="n">
        <f aca="false">IFERROR(INDEX(TENANTS!C$4:C$53,5),"")</f>
        <v>0</v>
      </c>
      <c r="I38" s="69" t="n">
        <f aca="false">IFERROR(INDEX(TENANTS!S$4:S$53,5),"")</f>
        <v>0</v>
      </c>
      <c r="J38" s="69" t="n">
        <f aca="false">IFERROR(INDEX(TENANTS!U$4:U$53,5),"")</f>
        <v>0</v>
      </c>
      <c r="K38" s="69" t="n">
        <f aca="false">IFERROR(INDEX(TENANTS!V$4:V$53,5),"")</f>
        <v>0</v>
      </c>
      <c r="L38" s="69" t="n">
        <f aca="false">IFERROR(INDEX(TENANTS!P$4:P$53,5),"")</f>
        <v>0</v>
      </c>
    </row>
    <row r="39" customFormat="false" ht="15" hidden="false" customHeight="false" outlineLevel="0" collapsed="false">
      <c r="A39" s="72" t="n">
        <f aca="false">IFERROR(INDEX(TENANTS!A$4:A$53,6),"")</f>
        <v>0</v>
      </c>
      <c r="B39" s="72" t="n">
        <f aca="false">IFERROR(INDEX(TENANTS!B$4:B$53,6),"")</f>
        <v>0</v>
      </c>
      <c r="C39" s="72" t="n">
        <f aca="false">IFERROR(INDEX(TENANTS!F$4:F$53,6),"")</f>
        <v>0</v>
      </c>
      <c r="D39" s="73" t="n">
        <f aca="false">IFERROR(INDEX(TENANTS!L$4:L$53,6),"")</f>
        <v>0</v>
      </c>
      <c r="E39" s="72" t="n">
        <f aca="false">IFERROR(INDEX(TENANTS!M$4:M$53,6),"")</f>
        <v>0</v>
      </c>
      <c r="F39" s="74" t="n">
        <f aca="false">IFERROR(INDEX(TENANTS!J$4:J$53,6),"")</f>
        <v>0</v>
      </c>
      <c r="G39" s="72" t="str">
        <f aca="false">IFERROR(INDEX(TENANTS!R$4:R$53,6),"")</f>
        <v>Vacant</v>
      </c>
      <c r="H39" s="72" t="n">
        <f aca="false">IFERROR(INDEX(TENANTS!C$4:C$53,6),"")</f>
        <v>0</v>
      </c>
      <c r="I39" s="72" t="n">
        <f aca="false">IFERROR(INDEX(TENANTS!S$4:S$53,6),"")</f>
        <v>0</v>
      </c>
      <c r="J39" s="72" t="n">
        <f aca="false">IFERROR(INDEX(TENANTS!U$4:U$53,6),"")</f>
        <v>0</v>
      </c>
      <c r="K39" s="72" t="n">
        <f aca="false">IFERROR(INDEX(TENANTS!V$4:V$53,6),"")</f>
        <v>0</v>
      </c>
      <c r="L39" s="72" t="n">
        <f aca="false">IFERROR(INDEX(TENANTS!P$4:P$53,6),"")</f>
        <v>0</v>
      </c>
    </row>
    <row r="40" customFormat="false" ht="15" hidden="false" customHeight="false" outlineLevel="0" collapsed="false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</row>
    <row r="41" customFormat="false" ht="24" hidden="false" customHeight="true" outlineLevel="0" collapsed="false">
      <c r="A41" s="75" t="s">
        <v>105</v>
      </c>
      <c r="B41" s="75"/>
      <c r="C41" s="53"/>
      <c r="D41" s="75" t="s">
        <v>106</v>
      </c>
      <c r="E41" s="75"/>
      <c r="F41" s="53"/>
      <c r="G41" s="75" t="s">
        <v>107</v>
      </c>
      <c r="H41" s="75"/>
      <c r="I41" s="75" t="s">
        <v>108</v>
      </c>
      <c r="J41" s="75"/>
      <c r="K41" s="75" t="s">
        <v>109</v>
      </c>
      <c r="L41" s="75"/>
    </row>
    <row r="42" customFormat="false" ht="15" hidden="false" customHeight="false" outlineLevel="0" collapsed="false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</row>
    <row r="43" customFormat="false" ht="15" hidden="false" customHeight="false" outlineLevel="0" collapsed="false">
      <c r="A43" s="76" t="s">
        <v>110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</row>
    <row r="44" customFormat="false" ht="15" hidden="false" customHeight="false" outlineLevel="0" collapsed="false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</row>
    <row r="45" customFormat="false" ht="15" hidden="false" customHeight="false" outlineLevel="0" collapsed="false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</row>
  </sheetData>
  <mergeCells count="14">
    <mergeCell ref="A1:L1"/>
    <mergeCell ref="A3:L3"/>
    <mergeCell ref="H12:K19"/>
    <mergeCell ref="H21:K22"/>
    <mergeCell ref="C25:F25"/>
    <mergeCell ref="G25:H25"/>
    <mergeCell ref="I25:J25"/>
    <mergeCell ref="A32:L32"/>
    <mergeCell ref="A41:B41"/>
    <mergeCell ref="D41:E41"/>
    <mergeCell ref="G41:H41"/>
    <mergeCell ref="I41:J41"/>
    <mergeCell ref="K41:L41"/>
    <mergeCell ref="A43:L43"/>
  </mergeCells>
  <dataValidations count="1">
    <dataValidation allowBlank="true" errorStyle="stop" operator="between" showDropDown="false" showErrorMessage="false" showInputMessage="false" sqref="G25" type="list">
      <formula1>LOOKUP!$B$30:$B$34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5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1"/>
    <col collapsed="false" customWidth="true" hidden="false" outlineLevel="0" max="2" min="2" style="0" width="22"/>
    <col collapsed="false" customWidth="true" hidden="false" outlineLevel="0" max="3" min="3" style="0" width="14"/>
    <col collapsed="false" customWidth="true" hidden="false" outlineLevel="0" max="4" min="4" style="0" width="24"/>
    <col collapsed="false" customWidth="true" hidden="false" outlineLevel="0" max="5" min="5" style="0" width="14"/>
    <col collapsed="false" customWidth="true" hidden="false" outlineLevel="0" max="6" min="6" style="0" width="10"/>
    <col collapsed="false" customWidth="true" hidden="false" outlineLevel="0" max="8" min="7" style="0" width="12"/>
    <col collapsed="false" customWidth="true" hidden="false" outlineLevel="0" max="12" min="9" style="0" width="13"/>
    <col collapsed="false" customWidth="true" hidden="false" outlineLevel="0" max="13" min="13" style="0" width="10"/>
    <col collapsed="false" customWidth="true" hidden="false" outlineLevel="0" max="15" min="14" style="0" width="13"/>
    <col collapsed="false" customWidth="true" hidden="false" outlineLevel="0" max="17" min="16" style="0" width="14"/>
    <col collapsed="false" customWidth="true" hidden="false" outlineLevel="0" max="18" min="18" style="0" width="12"/>
    <col collapsed="false" customWidth="true" hidden="false" outlineLevel="0" max="19" min="19" style="0" width="20"/>
    <col collapsed="false" customWidth="true" hidden="false" outlineLevel="0" max="20" min="20" style="0" width="15"/>
    <col collapsed="false" customWidth="true" hidden="false" outlineLevel="0" max="21" min="21" style="0" width="16"/>
    <col collapsed="false" customWidth="true" hidden="false" outlineLevel="0" max="22" min="22" style="0" width="25"/>
  </cols>
  <sheetData>
    <row r="1" customFormat="false" ht="31.5" hidden="false" customHeight="true" outlineLevel="0" collapsed="false">
      <c r="A1" s="77" t="s">
        <v>111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</row>
    <row r="2" customFormat="false" ht="18" hidden="false" customHeight="true" outlineLevel="0" collapsed="false">
      <c r="A2" s="78" t="s">
        <v>112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</row>
    <row r="3" customFormat="false" ht="21.75" hidden="false" customHeight="true" outlineLevel="0" collapsed="false">
      <c r="A3" s="79" t="s">
        <v>17</v>
      </c>
      <c r="B3" s="79" t="s">
        <v>82</v>
      </c>
      <c r="C3" s="79" t="s">
        <v>85</v>
      </c>
      <c r="D3" s="79" t="s">
        <v>88</v>
      </c>
      <c r="E3" s="79" t="s">
        <v>90</v>
      </c>
      <c r="F3" s="79" t="s">
        <v>19</v>
      </c>
      <c r="G3" s="79" t="s">
        <v>94</v>
      </c>
      <c r="H3" s="79" t="s">
        <v>96</v>
      </c>
      <c r="I3" s="79" t="s">
        <v>80</v>
      </c>
      <c r="J3" s="79" t="s">
        <v>83</v>
      </c>
      <c r="K3" s="79" t="s">
        <v>113</v>
      </c>
      <c r="L3" s="79" t="s">
        <v>86</v>
      </c>
      <c r="M3" s="79" t="s">
        <v>60</v>
      </c>
      <c r="N3" s="79" t="s">
        <v>114</v>
      </c>
      <c r="O3" s="79" t="s">
        <v>93</v>
      </c>
      <c r="P3" s="79" t="s">
        <v>95</v>
      </c>
      <c r="Q3" s="79" t="s">
        <v>115</v>
      </c>
      <c r="R3" s="79" t="s">
        <v>22</v>
      </c>
      <c r="S3" s="79" t="s">
        <v>81</v>
      </c>
      <c r="T3" s="79" t="s">
        <v>84</v>
      </c>
      <c r="U3" s="79" t="s">
        <v>87</v>
      </c>
      <c r="V3" s="79" t="s">
        <v>97</v>
      </c>
    </row>
    <row r="4" customFormat="false" ht="15" hidden="false" customHeight="false" outlineLevel="0" collapsed="false">
      <c r="A4" s="80" t="s">
        <v>79</v>
      </c>
      <c r="B4" s="80" t="s">
        <v>116</v>
      </c>
      <c r="C4" s="80" t="s">
        <v>117</v>
      </c>
      <c r="D4" s="80" t="s">
        <v>118</v>
      </c>
      <c r="E4" s="80" t="s">
        <v>119</v>
      </c>
      <c r="F4" s="80" t="s">
        <v>120</v>
      </c>
      <c r="G4" s="80" t="s">
        <v>47</v>
      </c>
      <c r="H4" s="80" t="s">
        <v>121</v>
      </c>
      <c r="I4" s="81" t="n">
        <v>45292</v>
      </c>
      <c r="J4" s="81" t="n">
        <v>45657</v>
      </c>
      <c r="K4" s="82" t="n">
        <f aca="false">IFERROR(DATEDIF(I4,J4,"M"),"")</f>
        <v>11</v>
      </c>
      <c r="L4" s="83" t="n">
        <v>3500</v>
      </c>
      <c r="M4" s="80" t="s">
        <v>61</v>
      </c>
      <c r="N4" s="80" t="s">
        <v>56</v>
      </c>
      <c r="O4" s="83" t="n">
        <v>7000</v>
      </c>
      <c r="P4" s="80" t="s">
        <v>68</v>
      </c>
      <c r="Q4" s="84" t="n">
        <f aca="true">IFERROR(IF(J4="","",J4-TODAY()),"")</f>
        <v>-559</v>
      </c>
      <c r="R4" s="85" t="str">
        <f aca="false">IFERROR(IF(B4="","Vacant",IF(Q4&lt;0,"Expired",IF(Q4&lt;=30,"Expiring Soon",IF(Q4&lt;=90,"Active - Review","Active")))),"Vacant")</f>
        <v>Expired</v>
      </c>
      <c r="S4" s="80" t="s">
        <v>122</v>
      </c>
      <c r="T4" s="80" t="s">
        <v>123</v>
      </c>
      <c r="U4" s="80" t="s">
        <v>124</v>
      </c>
      <c r="V4" s="80" t="s">
        <v>125</v>
      </c>
    </row>
    <row r="5" customFormat="false" ht="15" hidden="false" customHeight="false" outlineLevel="0" collapsed="false">
      <c r="A5" s="80" t="s">
        <v>126</v>
      </c>
      <c r="B5" s="80" t="s">
        <v>127</v>
      </c>
      <c r="C5" s="80" t="s">
        <v>128</v>
      </c>
      <c r="D5" s="80" t="s">
        <v>129</v>
      </c>
      <c r="E5" s="80" t="s">
        <v>130</v>
      </c>
      <c r="F5" s="80" t="s">
        <v>131</v>
      </c>
      <c r="G5" s="80" t="s">
        <v>46</v>
      </c>
      <c r="H5" s="80" t="s">
        <v>132</v>
      </c>
      <c r="I5" s="81" t="n">
        <v>45884</v>
      </c>
      <c r="J5" s="81" t="n">
        <v>46249</v>
      </c>
      <c r="K5" s="82" t="n">
        <f aca="false">IFERROR(DATEDIF(I5,J5,"M"),"")</f>
        <v>12</v>
      </c>
      <c r="L5" s="83" t="n">
        <v>2800</v>
      </c>
      <c r="M5" s="80" t="s">
        <v>61</v>
      </c>
      <c r="N5" s="80" t="s">
        <v>56</v>
      </c>
      <c r="O5" s="83" t="n">
        <v>5600</v>
      </c>
      <c r="P5" s="80" t="s">
        <v>69</v>
      </c>
      <c r="Q5" s="84" t="n">
        <f aca="true">IFERROR(IF(J5="","",J5-TODAY()),"")</f>
        <v>33</v>
      </c>
      <c r="R5" s="85" t="str">
        <f aca="false">IFERROR(IF(B5="","Vacant",IF(Q5&lt;0,"Expired",IF(Q5&lt;=30,"Expiring Soon",IF(Q5&lt;=90,"Active - Review","Active")))),"Vacant")</f>
        <v>Active - Review</v>
      </c>
      <c r="S5" s="80" t="s">
        <v>133</v>
      </c>
      <c r="T5" s="80" t="s">
        <v>134</v>
      </c>
      <c r="U5" s="80" t="s">
        <v>135</v>
      </c>
      <c r="V5" s="80" t="s">
        <v>136</v>
      </c>
    </row>
    <row r="6" customFormat="false" ht="15" hidden="false" customHeight="false" outlineLevel="0" collapsed="false">
      <c r="A6" s="80" t="s">
        <v>137</v>
      </c>
      <c r="B6" s="80" t="s">
        <v>138</v>
      </c>
      <c r="C6" s="80" t="s">
        <v>139</v>
      </c>
      <c r="D6" s="80" t="s">
        <v>140</v>
      </c>
      <c r="E6" s="80" t="s">
        <v>141</v>
      </c>
      <c r="F6" s="80" t="s">
        <v>142</v>
      </c>
      <c r="G6" s="80" t="s">
        <v>48</v>
      </c>
      <c r="H6" s="80" t="s">
        <v>143</v>
      </c>
      <c r="I6" s="81" t="n">
        <v>45659</v>
      </c>
      <c r="J6" s="81" t="n">
        <v>46024</v>
      </c>
      <c r="K6" s="82" t="n">
        <f aca="false">IFERROR(DATEDIF(I6,J6,"M"),"")</f>
        <v>12</v>
      </c>
      <c r="L6" s="83" t="n">
        <v>4100</v>
      </c>
      <c r="M6" s="80" t="s">
        <v>61</v>
      </c>
      <c r="N6" s="80" t="s">
        <v>56</v>
      </c>
      <c r="O6" s="83" t="n">
        <v>8200</v>
      </c>
      <c r="P6" s="80" t="s">
        <v>67</v>
      </c>
      <c r="Q6" s="84" t="n">
        <f aca="true">IFERROR(IF(J6="","",J6-TODAY()),"")</f>
        <v>-192</v>
      </c>
      <c r="R6" s="85" t="str">
        <f aca="false">IFERROR(IF(B6="","Vacant",IF(Q6&lt;0,"Expired",IF(Q6&lt;=30,"Expiring Soon",IF(Q6&lt;=90,"Active - Review","Active")))),"Vacant")</f>
        <v>Expired</v>
      </c>
      <c r="S6" s="80" t="s">
        <v>144</v>
      </c>
      <c r="T6" s="80" t="s">
        <v>145</v>
      </c>
      <c r="U6" s="80" t="s">
        <v>146</v>
      </c>
      <c r="V6" s="80" t="s">
        <v>147</v>
      </c>
    </row>
    <row r="7" customFormat="false" ht="15" hidden="false" customHeight="false" outlineLevel="0" collapsed="false">
      <c r="A7" s="69"/>
      <c r="B7" s="69"/>
      <c r="C7" s="69"/>
      <c r="D7" s="69"/>
      <c r="E7" s="69"/>
      <c r="F7" s="69"/>
      <c r="G7" s="69"/>
      <c r="H7" s="69"/>
      <c r="I7" s="71"/>
      <c r="J7" s="71"/>
      <c r="K7" s="82" t="n">
        <f aca="false">IFERROR(DATEDIF(I7,J7,"M"),"")</f>
        <v>0</v>
      </c>
      <c r="L7" s="70"/>
      <c r="M7" s="69"/>
      <c r="N7" s="69"/>
      <c r="O7" s="70"/>
      <c r="P7" s="69"/>
      <c r="Q7" s="84" t="str">
        <f aca="true">IFERROR(IF(J7="","",J7-TODAY()),"")</f>
        <v/>
      </c>
      <c r="R7" s="85" t="str">
        <f aca="false">IFERROR(IF(B7="","Vacant",IF(Q7&lt;0,"Expired",IF(Q7&lt;=30,"Expiring Soon",IF(Q7&lt;=90,"Active - Review","Active")))),"Vacant")</f>
        <v>Vacant</v>
      </c>
      <c r="S7" s="69"/>
      <c r="T7" s="69"/>
      <c r="U7" s="69"/>
      <c r="V7" s="69"/>
    </row>
    <row r="8" customFormat="false" ht="15" hidden="false" customHeight="false" outlineLevel="0" collapsed="false">
      <c r="A8" s="72"/>
      <c r="B8" s="72"/>
      <c r="C8" s="72"/>
      <c r="D8" s="72"/>
      <c r="E8" s="72"/>
      <c r="F8" s="72"/>
      <c r="G8" s="72"/>
      <c r="H8" s="72"/>
      <c r="I8" s="74"/>
      <c r="J8" s="74"/>
      <c r="K8" s="82" t="n">
        <f aca="false">IFERROR(DATEDIF(I8,J8,"M"),"")</f>
        <v>0</v>
      </c>
      <c r="L8" s="73"/>
      <c r="M8" s="72"/>
      <c r="N8" s="72"/>
      <c r="O8" s="73"/>
      <c r="P8" s="72"/>
      <c r="Q8" s="84" t="str">
        <f aca="true">IFERROR(IF(J8="","",J8-TODAY()),"")</f>
        <v/>
      </c>
      <c r="R8" s="85" t="str">
        <f aca="false">IFERROR(IF(B8="","Vacant",IF(Q8&lt;0,"Expired",IF(Q8&lt;=30,"Expiring Soon",IF(Q8&lt;=90,"Active - Review","Active")))),"Vacant")</f>
        <v>Vacant</v>
      </c>
      <c r="S8" s="72"/>
      <c r="T8" s="72"/>
      <c r="U8" s="72"/>
      <c r="V8" s="72"/>
    </row>
    <row r="9" customFormat="false" ht="15" hidden="false" customHeight="false" outlineLevel="0" collapsed="false">
      <c r="A9" s="69"/>
      <c r="B9" s="69"/>
      <c r="C9" s="69"/>
      <c r="D9" s="69"/>
      <c r="E9" s="69"/>
      <c r="F9" s="69"/>
      <c r="G9" s="69"/>
      <c r="H9" s="69"/>
      <c r="I9" s="71"/>
      <c r="J9" s="71"/>
      <c r="K9" s="82" t="n">
        <f aca="false">IFERROR(DATEDIF(I9,J9,"M"),"")</f>
        <v>0</v>
      </c>
      <c r="L9" s="70"/>
      <c r="M9" s="69"/>
      <c r="N9" s="69"/>
      <c r="O9" s="70"/>
      <c r="P9" s="69"/>
      <c r="Q9" s="84" t="str">
        <f aca="true">IFERROR(IF(J9="","",J9-TODAY()),"")</f>
        <v/>
      </c>
      <c r="R9" s="85" t="str">
        <f aca="false">IFERROR(IF(B9="","Vacant",IF(Q9&lt;0,"Expired",IF(Q9&lt;=30,"Expiring Soon",IF(Q9&lt;=90,"Active - Review","Active")))),"Vacant")</f>
        <v>Vacant</v>
      </c>
      <c r="S9" s="69"/>
      <c r="T9" s="69"/>
      <c r="U9" s="69"/>
      <c r="V9" s="69"/>
    </row>
    <row r="10" customFormat="false" ht="15" hidden="false" customHeight="false" outlineLevel="0" collapsed="false">
      <c r="A10" s="72"/>
      <c r="B10" s="72"/>
      <c r="C10" s="72"/>
      <c r="D10" s="72"/>
      <c r="E10" s="72"/>
      <c r="F10" s="72"/>
      <c r="G10" s="72"/>
      <c r="H10" s="72"/>
      <c r="I10" s="74"/>
      <c r="J10" s="74"/>
      <c r="K10" s="82" t="n">
        <f aca="false">IFERROR(DATEDIF(I10,J10,"M"),"")</f>
        <v>0</v>
      </c>
      <c r="L10" s="73"/>
      <c r="M10" s="72"/>
      <c r="N10" s="72"/>
      <c r="O10" s="73"/>
      <c r="P10" s="72"/>
      <c r="Q10" s="84" t="str">
        <f aca="true">IFERROR(IF(J10="","",J10-TODAY()),"")</f>
        <v/>
      </c>
      <c r="R10" s="85" t="str">
        <f aca="false">IFERROR(IF(B10="","Vacant",IF(Q10&lt;0,"Expired",IF(Q10&lt;=30,"Expiring Soon",IF(Q10&lt;=90,"Active - Review","Active")))),"Vacant")</f>
        <v>Vacant</v>
      </c>
      <c r="S10" s="72"/>
      <c r="T10" s="72"/>
      <c r="U10" s="72"/>
      <c r="V10" s="72"/>
    </row>
    <row r="11" customFormat="false" ht="15" hidden="false" customHeight="false" outlineLevel="0" collapsed="false">
      <c r="A11" s="69"/>
      <c r="B11" s="69"/>
      <c r="C11" s="69"/>
      <c r="D11" s="69"/>
      <c r="E11" s="69"/>
      <c r="F11" s="69"/>
      <c r="G11" s="69"/>
      <c r="H11" s="69"/>
      <c r="I11" s="71"/>
      <c r="J11" s="71"/>
      <c r="K11" s="82" t="n">
        <f aca="false">IFERROR(DATEDIF(I11,J11,"M"),"")</f>
        <v>0</v>
      </c>
      <c r="L11" s="70"/>
      <c r="M11" s="69"/>
      <c r="N11" s="69"/>
      <c r="O11" s="70"/>
      <c r="P11" s="69"/>
      <c r="Q11" s="84" t="str">
        <f aca="true">IFERROR(IF(J11="","",J11-TODAY()),"")</f>
        <v/>
      </c>
      <c r="R11" s="85" t="str">
        <f aca="false">IFERROR(IF(B11="","Vacant",IF(Q11&lt;0,"Expired",IF(Q11&lt;=30,"Expiring Soon",IF(Q11&lt;=90,"Active - Review","Active")))),"Vacant")</f>
        <v>Vacant</v>
      </c>
      <c r="S11" s="69"/>
      <c r="T11" s="69"/>
      <c r="U11" s="69"/>
      <c r="V11" s="69"/>
    </row>
    <row r="12" customFormat="false" ht="15" hidden="false" customHeight="false" outlineLevel="0" collapsed="false">
      <c r="A12" s="72"/>
      <c r="B12" s="72"/>
      <c r="C12" s="72"/>
      <c r="D12" s="72"/>
      <c r="E12" s="72"/>
      <c r="F12" s="72"/>
      <c r="G12" s="72"/>
      <c r="H12" s="72"/>
      <c r="I12" s="74"/>
      <c r="J12" s="74"/>
      <c r="K12" s="82" t="n">
        <f aca="false">IFERROR(DATEDIF(I12,J12,"M"),"")</f>
        <v>0</v>
      </c>
      <c r="L12" s="73"/>
      <c r="M12" s="72"/>
      <c r="N12" s="72"/>
      <c r="O12" s="73"/>
      <c r="P12" s="72"/>
      <c r="Q12" s="84" t="str">
        <f aca="true">IFERROR(IF(J12="","",J12-TODAY()),"")</f>
        <v/>
      </c>
      <c r="R12" s="85" t="str">
        <f aca="false">IFERROR(IF(B12="","Vacant",IF(Q12&lt;0,"Expired",IF(Q12&lt;=30,"Expiring Soon",IF(Q12&lt;=90,"Active - Review","Active")))),"Vacant")</f>
        <v>Vacant</v>
      </c>
      <c r="S12" s="72"/>
      <c r="T12" s="72"/>
      <c r="U12" s="72"/>
      <c r="V12" s="72"/>
    </row>
    <row r="13" customFormat="false" ht="15" hidden="false" customHeight="false" outlineLevel="0" collapsed="false">
      <c r="A13" s="69"/>
      <c r="B13" s="69"/>
      <c r="C13" s="69"/>
      <c r="D13" s="69"/>
      <c r="E13" s="69"/>
      <c r="F13" s="69"/>
      <c r="G13" s="69"/>
      <c r="H13" s="69"/>
      <c r="I13" s="71"/>
      <c r="J13" s="71"/>
      <c r="K13" s="82" t="n">
        <f aca="false">IFERROR(DATEDIF(I13,J13,"M"),"")</f>
        <v>0</v>
      </c>
      <c r="L13" s="70"/>
      <c r="M13" s="69"/>
      <c r="N13" s="69"/>
      <c r="O13" s="70"/>
      <c r="P13" s="69"/>
      <c r="Q13" s="84" t="str">
        <f aca="true">IFERROR(IF(J13="","",J13-TODAY()),"")</f>
        <v/>
      </c>
      <c r="R13" s="85" t="str">
        <f aca="false">IFERROR(IF(B13="","Vacant",IF(Q13&lt;0,"Expired",IF(Q13&lt;=30,"Expiring Soon",IF(Q13&lt;=90,"Active - Review","Active")))),"Vacant")</f>
        <v>Vacant</v>
      </c>
      <c r="S13" s="69"/>
      <c r="T13" s="69"/>
      <c r="U13" s="69"/>
      <c r="V13" s="69"/>
    </row>
    <row r="14" customFormat="false" ht="15" hidden="false" customHeight="false" outlineLevel="0" collapsed="false">
      <c r="A14" s="72"/>
      <c r="B14" s="72"/>
      <c r="C14" s="72"/>
      <c r="D14" s="72"/>
      <c r="E14" s="72"/>
      <c r="F14" s="72"/>
      <c r="G14" s="72"/>
      <c r="H14" s="72"/>
      <c r="I14" s="74"/>
      <c r="J14" s="74"/>
      <c r="K14" s="82" t="n">
        <f aca="false">IFERROR(DATEDIF(I14,J14,"M"),"")</f>
        <v>0</v>
      </c>
      <c r="L14" s="73"/>
      <c r="M14" s="72"/>
      <c r="N14" s="72"/>
      <c r="O14" s="73"/>
      <c r="P14" s="72"/>
      <c r="Q14" s="84" t="str">
        <f aca="true">IFERROR(IF(J14="","",J14-TODAY()),"")</f>
        <v/>
      </c>
      <c r="R14" s="85" t="str">
        <f aca="false">IFERROR(IF(B14="","Vacant",IF(Q14&lt;0,"Expired",IF(Q14&lt;=30,"Expiring Soon",IF(Q14&lt;=90,"Active - Review","Active")))),"Vacant")</f>
        <v>Vacant</v>
      </c>
      <c r="S14" s="72"/>
      <c r="T14" s="72"/>
      <c r="U14" s="72"/>
      <c r="V14" s="72"/>
    </row>
    <row r="15" customFormat="false" ht="15" hidden="false" customHeight="false" outlineLevel="0" collapsed="false">
      <c r="A15" s="69"/>
      <c r="B15" s="69"/>
      <c r="C15" s="69"/>
      <c r="D15" s="69"/>
      <c r="E15" s="69"/>
      <c r="F15" s="69"/>
      <c r="G15" s="69"/>
      <c r="H15" s="69"/>
      <c r="I15" s="71"/>
      <c r="J15" s="71"/>
      <c r="K15" s="82" t="n">
        <f aca="false">IFERROR(DATEDIF(I15,J15,"M"),"")</f>
        <v>0</v>
      </c>
      <c r="L15" s="70"/>
      <c r="M15" s="69"/>
      <c r="N15" s="69"/>
      <c r="O15" s="70"/>
      <c r="P15" s="69"/>
      <c r="Q15" s="84" t="str">
        <f aca="true">IFERROR(IF(J15="","",J15-TODAY()),"")</f>
        <v/>
      </c>
      <c r="R15" s="85" t="str">
        <f aca="false">IFERROR(IF(B15="","Vacant",IF(Q15&lt;0,"Expired",IF(Q15&lt;=30,"Expiring Soon",IF(Q15&lt;=90,"Active - Review","Active")))),"Vacant")</f>
        <v>Vacant</v>
      </c>
      <c r="S15" s="69"/>
      <c r="T15" s="69"/>
      <c r="U15" s="69"/>
      <c r="V15" s="69"/>
    </row>
    <row r="16" customFormat="false" ht="15" hidden="false" customHeight="false" outlineLevel="0" collapsed="false">
      <c r="A16" s="72"/>
      <c r="B16" s="72"/>
      <c r="C16" s="72"/>
      <c r="D16" s="72"/>
      <c r="E16" s="72"/>
      <c r="F16" s="72"/>
      <c r="G16" s="72"/>
      <c r="H16" s="72"/>
      <c r="I16" s="74"/>
      <c r="J16" s="74"/>
      <c r="K16" s="82" t="n">
        <f aca="false">IFERROR(DATEDIF(I16,J16,"M"),"")</f>
        <v>0</v>
      </c>
      <c r="L16" s="73"/>
      <c r="M16" s="72"/>
      <c r="N16" s="72"/>
      <c r="O16" s="73"/>
      <c r="P16" s="72"/>
      <c r="Q16" s="84" t="str">
        <f aca="true">IFERROR(IF(J16="","",J16-TODAY()),"")</f>
        <v/>
      </c>
      <c r="R16" s="85" t="str">
        <f aca="false">IFERROR(IF(B16="","Vacant",IF(Q16&lt;0,"Expired",IF(Q16&lt;=30,"Expiring Soon",IF(Q16&lt;=90,"Active - Review","Active")))),"Vacant")</f>
        <v>Vacant</v>
      </c>
      <c r="S16" s="72"/>
      <c r="T16" s="72"/>
      <c r="U16" s="72"/>
      <c r="V16" s="72"/>
    </row>
    <row r="17" customFormat="false" ht="15" hidden="false" customHeight="false" outlineLevel="0" collapsed="false">
      <c r="A17" s="69"/>
      <c r="B17" s="69"/>
      <c r="C17" s="69"/>
      <c r="D17" s="69"/>
      <c r="E17" s="69"/>
      <c r="F17" s="69"/>
      <c r="G17" s="69"/>
      <c r="H17" s="69"/>
      <c r="I17" s="71"/>
      <c r="J17" s="71"/>
      <c r="K17" s="82" t="n">
        <f aca="false">IFERROR(DATEDIF(I17,J17,"M"),"")</f>
        <v>0</v>
      </c>
      <c r="L17" s="70"/>
      <c r="M17" s="69"/>
      <c r="N17" s="69"/>
      <c r="O17" s="70"/>
      <c r="P17" s="69"/>
      <c r="Q17" s="84" t="str">
        <f aca="true">IFERROR(IF(J17="","",J17-TODAY()),"")</f>
        <v/>
      </c>
      <c r="R17" s="85" t="str">
        <f aca="false">IFERROR(IF(B17="","Vacant",IF(Q17&lt;0,"Expired",IF(Q17&lt;=30,"Expiring Soon",IF(Q17&lt;=90,"Active - Review","Active")))),"Vacant")</f>
        <v>Vacant</v>
      </c>
      <c r="S17" s="69"/>
      <c r="T17" s="69"/>
      <c r="U17" s="69"/>
      <c r="V17" s="69"/>
    </row>
    <row r="18" customFormat="false" ht="15" hidden="false" customHeight="false" outlineLevel="0" collapsed="false">
      <c r="A18" s="72"/>
      <c r="B18" s="72"/>
      <c r="C18" s="72"/>
      <c r="D18" s="72"/>
      <c r="E18" s="72"/>
      <c r="F18" s="72"/>
      <c r="G18" s="72"/>
      <c r="H18" s="72"/>
      <c r="I18" s="74"/>
      <c r="J18" s="74"/>
      <c r="K18" s="82" t="n">
        <f aca="false">IFERROR(DATEDIF(I18,J18,"M"),"")</f>
        <v>0</v>
      </c>
      <c r="L18" s="73"/>
      <c r="M18" s="72"/>
      <c r="N18" s="72"/>
      <c r="O18" s="73"/>
      <c r="P18" s="72"/>
      <c r="Q18" s="84" t="str">
        <f aca="true">IFERROR(IF(J18="","",J18-TODAY()),"")</f>
        <v/>
      </c>
      <c r="R18" s="85" t="str">
        <f aca="false">IFERROR(IF(B18="","Vacant",IF(Q18&lt;0,"Expired",IF(Q18&lt;=30,"Expiring Soon",IF(Q18&lt;=90,"Active - Review","Active")))),"Vacant")</f>
        <v>Vacant</v>
      </c>
      <c r="S18" s="72"/>
      <c r="T18" s="72"/>
      <c r="U18" s="72"/>
      <c r="V18" s="72"/>
    </row>
    <row r="19" customFormat="false" ht="15" hidden="false" customHeight="false" outlineLevel="0" collapsed="false">
      <c r="A19" s="69"/>
      <c r="B19" s="69"/>
      <c r="C19" s="69"/>
      <c r="D19" s="69"/>
      <c r="E19" s="69"/>
      <c r="F19" s="69"/>
      <c r="G19" s="69"/>
      <c r="H19" s="69"/>
      <c r="I19" s="71"/>
      <c r="J19" s="71"/>
      <c r="K19" s="82" t="n">
        <f aca="false">IFERROR(DATEDIF(I19,J19,"M"),"")</f>
        <v>0</v>
      </c>
      <c r="L19" s="70"/>
      <c r="M19" s="69"/>
      <c r="N19" s="69"/>
      <c r="O19" s="70"/>
      <c r="P19" s="69"/>
      <c r="Q19" s="84" t="str">
        <f aca="true">IFERROR(IF(J19="","",J19-TODAY()),"")</f>
        <v/>
      </c>
      <c r="R19" s="85" t="str">
        <f aca="false">IFERROR(IF(B19="","Vacant",IF(Q19&lt;0,"Expired",IF(Q19&lt;=30,"Expiring Soon",IF(Q19&lt;=90,"Active - Review","Active")))),"Vacant")</f>
        <v>Vacant</v>
      </c>
      <c r="S19" s="69"/>
      <c r="T19" s="69"/>
      <c r="U19" s="69"/>
      <c r="V19" s="69"/>
    </row>
    <row r="20" customFormat="false" ht="15" hidden="false" customHeight="false" outlineLevel="0" collapsed="false">
      <c r="A20" s="72"/>
      <c r="B20" s="72"/>
      <c r="C20" s="72"/>
      <c r="D20" s="72"/>
      <c r="E20" s="72"/>
      <c r="F20" s="72"/>
      <c r="G20" s="72"/>
      <c r="H20" s="72"/>
      <c r="I20" s="74"/>
      <c r="J20" s="74"/>
      <c r="K20" s="82" t="n">
        <f aca="false">IFERROR(DATEDIF(I20,J20,"M"),"")</f>
        <v>0</v>
      </c>
      <c r="L20" s="73"/>
      <c r="M20" s="72"/>
      <c r="N20" s="72"/>
      <c r="O20" s="73"/>
      <c r="P20" s="72"/>
      <c r="Q20" s="84" t="str">
        <f aca="true">IFERROR(IF(J20="","",J20-TODAY()),"")</f>
        <v/>
      </c>
      <c r="R20" s="85" t="str">
        <f aca="false">IFERROR(IF(B20="","Vacant",IF(Q20&lt;0,"Expired",IF(Q20&lt;=30,"Expiring Soon",IF(Q20&lt;=90,"Active - Review","Active")))),"Vacant")</f>
        <v>Vacant</v>
      </c>
      <c r="S20" s="72"/>
      <c r="T20" s="72"/>
      <c r="U20" s="72"/>
      <c r="V20" s="72"/>
    </row>
    <row r="21" customFormat="false" ht="15" hidden="false" customHeight="false" outlineLevel="0" collapsed="false">
      <c r="A21" s="69"/>
      <c r="B21" s="69"/>
      <c r="C21" s="69"/>
      <c r="D21" s="69"/>
      <c r="E21" s="69"/>
      <c r="F21" s="69"/>
      <c r="G21" s="69"/>
      <c r="H21" s="69"/>
      <c r="I21" s="71"/>
      <c r="J21" s="71"/>
      <c r="K21" s="82" t="n">
        <f aca="false">IFERROR(DATEDIF(I21,J21,"M"),"")</f>
        <v>0</v>
      </c>
      <c r="L21" s="70"/>
      <c r="M21" s="69"/>
      <c r="N21" s="69"/>
      <c r="O21" s="70"/>
      <c r="P21" s="69"/>
      <c r="Q21" s="84" t="str">
        <f aca="true">IFERROR(IF(J21="","",J21-TODAY()),"")</f>
        <v/>
      </c>
      <c r="R21" s="85" t="str">
        <f aca="false">IFERROR(IF(B21="","Vacant",IF(Q21&lt;0,"Expired",IF(Q21&lt;=30,"Expiring Soon",IF(Q21&lt;=90,"Active - Review","Active")))),"Vacant")</f>
        <v>Vacant</v>
      </c>
      <c r="S21" s="69"/>
      <c r="T21" s="69"/>
      <c r="U21" s="69"/>
      <c r="V21" s="69"/>
    </row>
    <row r="22" customFormat="false" ht="15" hidden="false" customHeight="false" outlineLevel="0" collapsed="false">
      <c r="A22" s="72"/>
      <c r="B22" s="72"/>
      <c r="C22" s="72"/>
      <c r="D22" s="72"/>
      <c r="E22" s="72"/>
      <c r="F22" s="72"/>
      <c r="G22" s="72"/>
      <c r="H22" s="72"/>
      <c r="I22" s="74"/>
      <c r="J22" s="74"/>
      <c r="K22" s="82" t="n">
        <f aca="false">IFERROR(DATEDIF(I22,J22,"M"),"")</f>
        <v>0</v>
      </c>
      <c r="L22" s="73"/>
      <c r="M22" s="72"/>
      <c r="N22" s="72"/>
      <c r="O22" s="73"/>
      <c r="P22" s="72"/>
      <c r="Q22" s="84" t="str">
        <f aca="true">IFERROR(IF(J22="","",J22-TODAY()),"")</f>
        <v/>
      </c>
      <c r="R22" s="85" t="str">
        <f aca="false">IFERROR(IF(B22="","Vacant",IF(Q22&lt;0,"Expired",IF(Q22&lt;=30,"Expiring Soon",IF(Q22&lt;=90,"Active - Review","Active")))),"Vacant")</f>
        <v>Vacant</v>
      </c>
      <c r="S22" s="72"/>
      <c r="T22" s="72"/>
      <c r="U22" s="72"/>
      <c r="V22" s="72"/>
    </row>
    <row r="23" customFormat="false" ht="15" hidden="false" customHeight="false" outlineLevel="0" collapsed="false">
      <c r="A23" s="69"/>
      <c r="B23" s="69"/>
      <c r="C23" s="69"/>
      <c r="D23" s="69"/>
      <c r="E23" s="69"/>
      <c r="F23" s="69"/>
      <c r="G23" s="69"/>
      <c r="H23" s="69"/>
      <c r="I23" s="71"/>
      <c r="J23" s="71"/>
      <c r="K23" s="82" t="n">
        <f aca="false">IFERROR(DATEDIF(I23,J23,"M"),"")</f>
        <v>0</v>
      </c>
      <c r="L23" s="70"/>
      <c r="M23" s="69"/>
      <c r="N23" s="69"/>
      <c r="O23" s="70"/>
      <c r="P23" s="69"/>
      <c r="Q23" s="84" t="str">
        <f aca="true">IFERROR(IF(J23="","",J23-TODAY()),"")</f>
        <v/>
      </c>
      <c r="R23" s="85" t="str">
        <f aca="false">IFERROR(IF(B23="","Vacant",IF(Q23&lt;0,"Expired",IF(Q23&lt;=30,"Expiring Soon",IF(Q23&lt;=90,"Active - Review","Active")))),"Vacant")</f>
        <v>Vacant</v>
      </c>
      <c r="S23" s="69"/>
      <c r="T23" s="69"/>
      <c r="U23" s="69"/>
      <c r="V23" s="69"/>
    </row>
    <row r="24" customFormat="false" ht="15" hidden="false" customHeight="false" outlineLevel="0" collapsed="false">
      <c r="A24" s="72"/>
      <c r="B24" s="72"/>
      <c r="C24" s="72"/>
      <c r="D24" s="72"/>
      <c r="E24" s="72"/>
      <c r="F24" s="72"/>
      <c r="G24" s="72"/>
      <c r="H24" s="72"/>
      <c r="I24" s="74"/>
      <c r="J24" s="74"/>
      <c r="K24" s="82" t="n">
        <f aca="false">IFERROR(DATEDIF(I24,J24,"M"),"")</f>
        <v>0</v>
      </c>
      <c r="L24" s="73"/>
      <c r="M24" s="72"/>
      <c r="N24" s="72"/>
      <c r="O24" s="73"/>
      <c r="P24" s="72"/>
      <c r="Q24" s="84" t="str">
        <f aca="true">IFERROR(IF(J24="","",J24-TODAY()),"")</f>
        <v/>
      </c>
      <c r="R24" s="85" t="str">
        <f aca="false">IFERROR(IF(B24="","Vacant",IF(Q24&lt;0,"Expired",IF(Q24&lt;=30,"Expiring Soon",IF(Q24&lt;=90,"Active - Review","Active")))),"Vacant")</f>
        <v>Vacant</v>
      </c>
      <c r="S24" s="72"/>
      <c r="T24" s="72"/>
      <c r="U24" s="72"/>
      <c r="V24" s="72"/>
    </row>
    <row r="25" customFormat="false" ht="15" hidden="false" customHeight="false" outlineLevel="0" collapsed="false">
      <c r="A25" s="69"/>
      <c r="B25" s="69"/>
      <c r="C25" s="69"/>
      <c r="D25" s="69"/>
      <c r="E25" s="69"/>
      <c r="F25" s="69"/>
      <c r="G25" s="69"/>
      <c r="H25" s="69"/>
      <c r="I25" s="71"/>
      <c r="J25" s="71"/>
      <c r="K25" s="82" t="n">
        <f aca="false">IFERROR(DATEDIF(I25,J25,"M"),"")</f>
        <v>0</v>
      </c>
      <c r="L25" s="70"/>
      <c r="M25" s="69"/>
      <c r="N25" s="69"/>
      <c r="O25" s="70"/>
      <c r="P25" s="69"/>
      <c r="Q25" s="84" t="str">
        <f aca="true">IFERROR(IF(J25="","",J25-TODAY()),"")</f>
        <v/>
      </c>
      <c r="R25" s="85" t="str">
        <f aca="false">IFERROR(IF(B25="","Vacant",IF(Q25&lt;0,"Expired",IF(Q25&lt;=30,"Expiring Soon",IF(Q25&lt;=90,"Active - Review","Active")))),"Vacant")</f>
        <v>Vacant</v>
      </c>
      <c r="S25" s="69"/>
      <c r="T25" s="69"/>
      <c r="U25" s="69"/>
      <c r="V25" s="69"/>
    </row>
    <row r="26" customFormat="false" ht="15" hidden="false" customHeight="false" outlineLevel="0" collapsed="false">
      <c r="A26" s="72"/>
      <c r="B26" s="72"/>
      <c r="C26" s="72"/>
      <c r="D26" s="72"/>
      <c r="E26" s="72"/>
      <c r="F26" s="72"/>
      <c r="G26" s="72"/>
      <c r="H26" s="72"/>
      <c r="I26" s="74"/>
      <c r="J26" s="74"/>
      <c r="K26" s="82" t="n">
        <f aca="false">IFERROR(DATEDIF(I26,J26,"M"),"")</f>
        <v>0</v>
      </c>
      <c r="L26" s="73"/>
      <c r="M26" s="72"/>
      <c r="N26" s="72"/>
      <c r="O26" s="73"/>
      <c r="P26" s="72"/>
      <c r="Q26" s="84" t="str">
        <f aca="true">IFERROR(IF(J26="","",J26-TODAY()),"")</f>
        <v/>
      </c>
      <c r="R26" s="85" t="str">
        <f aca="false">IFERROR(IF(B26="","Vacant",IF(Q26&lt;0,"Expired",IF(Q26&lt;=30,"Expiring Soon",IF(Q26&lt;=90,"Active - Review","Active")))),"Vacant")</f>
        <v>Vacant</v>
      </c>
      <c r="S26" s="72"/>
      <c r="T26" s="72"/>
      <c r="U26" s="72"/>
      <c r="V26" s="72"/>
    </row>
    <row r="27" customFormat="false" ht="15" hidden="false" customHeight="false" outlineLevel="0" collapsed="false">
      <c r="A27" s="69"/>
      <c r="B27" s="69"/>
      <c r="C27" s="69"/>
      <c r="D27" s="69"/>
      <c r="E27" s="69"/>
      <c r="F27" s="69"/>
      <c r="G27" s="69"/>
      <c r="H27" s="69"/>
      <c r="I27" s="71"/>
      <c r="J27" s="71"/>
      <c r="K27" s="82" t="n">
        <f aca="false">IFERROR(DATEDIF(I27,J27,"M"),"")</f>
        <v>0</v>
      </c>
      <c r="L27" s="70"/>
      <c r="M27" s="69"/>
      <c r="N27" s="69"/>
      <c r="O27" s="70"/>
      <c r="P27" s="69"/>
      <c r="Q27" s="84" t="str">
        <f aca="true">IFERROR(IF(J27="","",J27-TODAY()),"")</f>
        <v/>
      </c>
      <c r="R27" s="85" t="str">
        <f aca="false">IFERROR(IF(B27="","Vacant",IF(Q27&lt;0,"Expired",IF(Q27&lt;=30,"Expiring Soon",IF(Q27&lt;=90,"Active - Review","Active")))),"Vacant")</f>
        <v>Vacant</v>
      </c>
      <c r="S27" s="69"/>
      <c r="T27" s="69"/>
      <c r="U27" s="69"/>
      <c r="V27" s="69"/>
    </row>
    <row r="28" customFormat="false" ht="15" hidden="false" customHeight="false" outlineLevel="0" collapsed="false">
      <c r="A28" s="72"/>
      <c r="B28" s="72"/>
      <c r="C28" s="72"/>
      <c r="D28" s="72"/>
      <c r="E28" s="72"/>
      <c r="F28" s="72"/>
      <c r="G28" s="72"/>
      <c r="H28" s="72"/>
      <c r="I28" s="74"/>
      <c r="J28" s="74"/>
      <c r="K28" s="82" t="n">
        <f aca="false">IFERROR(DATEDIF(I28,J28,"M"),"")</f>
        <v>0</v>
      </c>
      <c r="L28" s="73"/>
      <c r="M28" s="72"/>
      <c r="N28" s="72"/>
      <c r="O28" s="73"/>
      <c r="P28" s="72"/>
      <c r="Q28" s="84" t="str">
        <f aca="true">IFERROR(IF(J28="","",J28-TODAY()),"")</f>
        <v/>
      </c>
      <c r="R28" s="85" t="str">
        <f aca="false">IFERROR(IF(B28="","Vacant",IF(Q28&lt;0,"Expired",IF(Q28&lt;=30,"Expiring Soon",IF(Q28&lt;=90,"Active - Review","Active")))),"Vacant")</f>
        <v>Vacant</v>
      </c>
      <c r="S28" s="72"/>
      <c r="T28" s="72"/>
      <c r="U28" s="72"/>
      <c r="V28" s="72"/>
    </row>
    <row r="29" customFormat="false" ht="15" hidden="false" customHeight="false" outlineLevel="0" collapsed="false">
      <c r="A29" s="69"/>
      <c r="B29" s="69"/>
      <c r="C29" s="69"/>
      <c r="D29" s="69"/>
      <c r="E29" s="69"/>
      <c r="F29" s="69"/>
      <c r="G29" s="69"/>
      <c r="H29" s="69"/>
      <c r="I29" s="71"/>
      <c r="J29" s="71"/>
      <c r="K29" s="82" t="n">
        <f aca="false">IFERROR(DATEDIF(I29,J29,"M"),"")</f>
        <v>0</v>
      </c>
      <c r="L29" s="70"/>
      <c r="M29" s="69"/>
      <c r="N29" s="69"/>
      <c r="O29" s="70"/>
      <c r="P29" s="69"/>
      <c r="Q29" s="84" t="str">
        <f aca="true">IFERROR(IF(J29="","",J29-TODAY()),"")</f>
        <v/>
      </c>
      <c r="R29" s="85" t="str">
        <f aca="false">IFERROR(IF(B29="","Vacant",IF(Q29&lt;0,"Expired",IF(Q29&lt;=30,"Expiring Soon",IF(Q29&lt;=90,"Active - Review","Active")))),"Vacant")</f>
        <v>Vacant</v>
      </c>
      <c r="S29" s="69"/>
      <c r="T29" s="69"/>
      <c r="U29" s="69"/>
      <c r="V29" s="69"/>
    </row>
    <row r="30" customFormat="false" ht="15" hidden="false" customHeight="false" outlineLevel="0" collapsed="false">
      <c r="A30" s="72"/>
      <c r="B30" s="72"/>
      <c r="C30" s="72"/>
      <c r="D30" s="72"/>
      <c r="E30" s="72"/>
      <c r="F30" s="72"/>
      <c r="G30" s="72"/>
      <c r="H30" s="72"/>
      <c r="I30" s="74"/>
      <c r="J30" s="74"/>
      <c r="K30" s="82" t="n">
        <f aca="false">IFERROR(DATEDIF(I30,J30,"M"),"")</f>
        <v>0</v>
      </c>
      <c r="L30" s="73"/>
      <c r="M30" s="72"/>
      <c r="N30" s="72"/>
      <c r="O30" s="73"/>
      <c r="P30" s="72"/>
      <c r="Q30" s="84" t="str">
        <f aca="true">IFERROR(IF(J30="","",J30-TODAY()),"")</f>
        <v/>
      </c>
      <c r="R30" s="85" t="str">
        <f aca="false">IFERROR(IF(B30="","Vacant",IF(Q30&lt;0,"Expired",IF(Q30&lt;=30,"Expiring Soon",IF(Q30&lt;=90,"Active - Review","Active")))),"Vacant")</f>
        <v>Vacant</v>
      </c>
      <c r="S30" s="72"/>
      <c r="T30" s="72"/>
      <c r="U30" s="72"/>
      <c r="V30" s="72"/>
    </row>
    <row r="31" customFormat="false" ht="15" hidden="false" customHeight="false" outlineLevel="0" collapsed="false">
      <c r="A31" s="69"/>
      <c r="B31" s="69"/>
      <c r="C31" s="69"/>
      <c r="D31" s="69"/>
      <c r="E31" s="69"/>
      <c r="F31" s="69"/>
      <c r="G31" s="69"/>
      <c r="H31" s="69"/>
      <c r="I31" s="71"/>
      <c r="J31" s="71"/>
      <c r="K31" s="82" t="n">
        <f aca="false">IFERROR(DATEDIF(I31,J31,"M"),"")</f>
        <v>0</v>
      </c>
      <c r="L31" s="70"/>
      <c r="M31" s="69"/>
      <c r="N31" s="69"/>
      <c r="O31" s="70"/>
      <c r="P31" s="69"/>
      <c r="Q31" s="84" t="str">
        <f aca="true">IFERROR(IF(J31="","",J31-TODAY()),"")</f>
        <v/>
      </c>
      <c r="R31" s="85" t="str">
        <f aca="false">IFERROR(IF(B31="","Vacant",IF(Q31&lt;0,"Expired",IF(Q31&lt;=30,"Expiring Soon",IF(Q31&lt;=90,"Active - Review","Active")))),"Vacant")</f>
        <v>Vacant</v>
      </c>
      <c r="S31" s="69"/>
      <c r="T31" s="69"/>
      <c r="U31" s="69"/>
      <c r="V31" s="69"/>
    </row>
    <row r="32" customFormat="false" ht="15" hidden="false" customHeight="false" outlineLevel="0" collapsed="false">
      <c r="A32" s="72"/>
      <c r="B32" s="72"/>
      <c r="C32" s="72"/>
      <c r="D32" s="72"/>
      <c r="E32" s="72"/>
      <c r="F32" s="72"/>
      <c r="G32" s="72"/>
      <c r="H32" s="72"/>
      <c r="I32" s="74"/>
      <c r="J32" s="74"/>
      <c r="K32" s="82" t="n">
        <f aca="false">IFERROR(DATEDIF(I32,J32,"M"),"")</f>
        <v>0</v>
      </c>
      <c r="L32" s="73"/>
      <c r="M32" s="72"/>
      <c r="N32" s="72"/>
      <c r="O32" s="73"/>
      <c r="P32" s="72"/>
      <c r="Q32" s="84" t="str">
        <f aca="true">IFERROR(IF(J32="","",J32-TODAY()),"")</f>
        <v/>
      </c>
      <c r="R32" s="85" t="str">
        <f aca="false">IFERROR(IF(B32="","Vacant",IF(Q32&lt;0,"Expired",IF(Q32&lt;=30,"Expiring Soon",IF(Q32&lt;=90,"Active - Review","Active")))),"Vacant")</f>
        <v>Vacant</v>
      </c>
      <c r="S32" s="72"/>
      <c r="T32" s="72"/>
      <c r="U32" s="72"/>
      <c r="V32" s="72"/>
    </row>
    <row r="33" customFormat="false" ht="15" hidden="false" customHeight="false" outlineLevel="0" collapsed="false">
      <c r="A33" s="69"/>
      <c r="B33" s="69"/>
      <c r="C33" s="69"/>
      <c r="D33" s="69"/>
      <c r="E33" s="69"/>
      <c r="F33" s="69"/>
      <c r="G33" s="69"/>
      <c r="H33" s="69"/>
      <c r="I33" s="71"/>
      <c r="J33" s="71"/>
      <c r="K33" s="82" t="n">
        <f aca="false">IFERROR(DATEDIF(I33,J33,"M"),"")</f>
        <v>0</v>
      </c>
      <c r="L33" s="70"/>
      <c r="M33" s="69"/>
      <c r="N33" s="69"/>
      <c r="O33" s="70"/>
      <c r="P33" s="69"/>
      <c r="Q33" s="84" t="str">
        <f aca="true">IFERROR(IF(J33="","",J33-TODAY()),"")</f>
        <v/>
      </c>
      <c r="R33" s="85" t="str">
        <f aca="false">IFERROR(IF(B33="","Vacant",IF(Q33&lt;0,"Expired",IF(Q33&lt;=30,"Expiring Soon",IF(Q33&lt;=90,"Active - Review","Active")))),"Vacant")</f>
        <v>Vacant</v>
      </c>
      <c r="S33" s="69"/>
      <c r="T33" s="69"/>
      <c r="U33" s="69"/>
      <c r="V33" s="69"/>
    </row>
    <row r="34" customFormat="false" ht="15" hidden="false" customHeight="false" outlineLevel="0" collapsed="false">
      <c r="A34" s="72"/>
      <c r="B34" s="72"/>
      <c r="C34" s="72"/>
      <c r="D34" s="72"/>
      <c r="E34" s="72"/>
      <c r="F34" s="72"/>
      <c r="G34" s="72"/>
      <c r="H34" s="72"/>
      <c r="I34" s="74"/>
      <c r="J34" s="74"/>
      <c r="K34" s="82" t="n">
        <f aca="false">IFERROR(DATEDIF(I34,J34,"M"),"")</f>
        <v>0</v>
      </c>
      <c r="L34" s="73"/>
      <c r="M34" s="72"/>
      <c r="N34" s="72"/>
      <c r="O34" s="73"/>
      <c r="P34" s="72"/>
      <c r="Q34" s="84" t="str">
        <f aca="true">IFERROR(IF(J34="","",J34-TODAY()),"")</f>
        <v/>
      </c>
      <c r="R34" s="85" t="str">
        <f aca="false">IFERROR(IF(B34="","Vacant",IF(Q34&lt;0,"Expired",IF(Q34&lt;=30,"Expiring Soon",IF(Q34&lt;=90,"Active - Review","Active")))),"Vacant")</f>
        <v>Vacant</v>
      </c>
      <c r="S34" s="72"/>
      <c r="T34" s="72"/>
      <c r="U34" s="72"/>
      <c r="V34" s="72"/>
    </row>
    <row r="35" customFormat="false" ht="15" hidden="false" customHeight="false" outlineLevel="0" collapsed="false">
      <c r="A35" s="69"/>
      <c r="B35" s="69"/>
      <c r="C35" s="69"/>
      <c r="D35" s="69"/>
      <c r="E35" s="69"/>
      <c r="F35" s="69"/>
      <c r="G35" s="69"/>
      <c r="H35" s="69"/>
      <c r="I35" s="71"/>
      <c r="J35" s="71"/>
      <c r="K35" s="82" t="n">
        <f aca="false">IFERROR(DATEDIF(I35,J35,"M"),"")</f>
        <v>0</v>
      </c>
      <c r="L35" s="70"/>
      <c r="M35" s="69"/>
      <c r="N35" s="69"/>
      <c r="O35" s="70"/>
      <c r="P35" s="69"/>
      <c r="Q35" s="84" t="str">
        <f aca="true">IFERROR(IF(J35="","",J35-TODAY()),"")</f>
        <v/>
      </c>
      <c r="R35" s="85" t="str">
        <f aca="false">IFERROR(IF(B35="","Vacant",IF(Q35&lt;0,"Expired",IF(Q35&lt;=30,"Expiring Soon",IF(Q35&lt;=90,"Active - Review","Active")))),"Vacant")</f>
        <v>Vacant</v>
      </c>
      <c r="S35" s="69"/>
      <c r="T35" s="69"/>
      <c r="U35" s="69"/>
      <c r="V35" s="69"/>
    </row>
    <row r="36" customFormat="false" ht="15" hidden="false" customHeight="false" outlineLevel="0" collapsed="false">
      <c r="A36" s="72"/>
      <c r="B36" s="72"/>
      <c r="C36" s="72"/>
      <c r="D36" s="72"/>
      <c r="E36" s="72"/>
      <c r="F36" s="72"/>
      <c r="G36" s="72"/>
      <c r="H36" s="72"/>
      <c r="I36" s="74"/>
      <c r="J36" s="74"/>
      <c r="K36" s="82" t="n">
        <f aca="false">IFERROR(DATEDIF(I36,J36,"M"),"")</f>
        <v>0</v>
      </c>
      <c r="L36" s="73"/>
      <c r="M36" s="72"/>
      <c r="N36" s="72"/>
      <c r="O36" s="73"/>
      <c r="P36" s="72"/>
      <c r="Q36" s="84" t="str">
        <f aca="true">IFERROR(IF(J36="","",J36-TODAY()),"")</f>
        <v/>
      </c>
      <c r="R36" s="85" t="str">
        <f aca="false">IFERROR(IF(B36="","Vacant",IF(Q36&lt;0,"Expired",IF(Q36&lt;=30,"Expiring Soon",IF(Q36&lt;=90,"Active - Review","Active")))),"Vacant")</f>
        <v>Vacant</v>
      </c>
      <c r="S36" s="72"/>
      <c r="T36" s="72"/>
      <c r="U36" s="72"/>
      <c r="V36" s="72"/>
    </row>
    <row r="37" customFormat="false" ht="15" hidden="false" customHeight="false" outlineLevel="0" collapsed="false">
      <c r="A37" s="69"/>
      <c r="B37" s="69"/>
      <c r="C37" s="69"/>
      <c r="D37" s="69"/>
      <c r="E37" s="69"/>
      <c r="F37" s="69"/>
      <c r="G37" s="69"/>
      <c r="H37" s="69"/>
      <c r="I37" s="71"/>
      <c r="J37" s="71"/>
      <c r="K37" s="82" t="n">
        <f aca="false">IFERROR(DATEDIF(I37,J37,"M"),"")</f>
        <v>0</v>
      </c>
      <c r="L37" s="70"/>
      <c r="M37" s="69"/>
      <c r="N37" s="69"/>
      <c r="O37" s="70"/>
      <c r="P37" s="69"/>
      <c r="Q37" s="84" t="str">
        <f aca="true">IFERROR(IF(J37="","",J37-TODAY()),"")</f>
        <v/>
      </c>
      <c r="R37" s="85" t="str">
        <f aca="false">IFERROR(IF(B37="","Vacant",IF(Q37&lt;0,"Expired",IF(Q37&lt;=30,"Expiring Soon",IF(Q37&lt;=90,"Active - Review","Active")))),"Vacant")</f>
        <v>Vacant</v>
      </c>
      <c r="S37" s="69"/>
      <c r="T37" s="69"/>
      <c r="U37" s="69"/>
      <c r="V37" s="69"/>
    </row>
    <row r="38" customFormat="false" ht="15" hidden="false" customHeight="false" outlineLevel="0" collapsed="false">
      <c r="A38" s="72"/>
      <c r="B38" s="72"/>
      <c r="C38" s="72"/>
      <c r="D38" s="72"/>
      <c r="E38" s="72"/>
      <c r="F38" s="72"/>
      <c r="G38" s="72"/>
      <c r="H38" s="72"/>
      <c r="I38" s="74"/>
      <c r="J38" s="74"/>
      <c r="K38" s="82" t="n">
        <f aca="false">IFERROR(DATEDIF(I38,J38,"M"),"")</f>
        <v>0</v>
      </c>
      <c r="L38" s="73"/>
      <c r="M38" s="72"/>
      <c r="N38" s="72"/>
      <c r="O38" s="73"/>
      <c r="P38" s="72"/>
      <c r="Q38" s="84" t="str">
        <f aca="true">IFERROR(IF(J38="","",J38-TODAY()),"")</f>
        <v/>
      </c>
      <c r="R38" s="85" t="str">
        <f aca="false">IFERROR(IF(B38="","Vacant",IF(Q38&lt;0,"Expired",IF(Q38&lt;=30,"Expiring Soon",IF(Q38&lt;=90,"Active - Review","Active")))),"Vacant")</f>
        <v>Vacant</v>
      </c>
      <c r="S38" s="72"/>
      <c r="T38" s="72"/>
      <c r="U38" s="72"/>
      <c r="V38" s="72"/>
    </row>
    <row r="39" customFormat="false" ht="15" hidden="false" customHeight="false" outlineLevel="0" collapsed="false">
      <c r="A39" s="69"/>
      <c r="B39" s="69"/>
      <c r="C39" s="69"/>
      <c r="D39" s="69"/>
      <c r="E39" s="69"/>
      <c r="F39" s="69"/>
      <c r="G39" s="69"/>
      <c r="H39" s="69"/>
      <c r="I39" s="71"/>
      <c r="J39" s="71"/>
      <c r="K39" s="82" t="n">
        <f aca="false">IFERROR(DATEDIF(I39,J39,"M"),"")</f>
        <v>0</v>
      </c>
      <c r="L39" s="70"/>
      <c r="M39" s="69"/>
      <c r="N39" s="69"/>
      <c r="O39" s="70"/>
      <c r="P39" s="69"/>
      <c r="Q39" s="84" t="str">
        <f aca="true">IFERROR(IF(J39="","",J39-TODAY()),"")</f>
        <v/>
      </c>
      <c r="R39" s="85" t="str">
        <f aca="false">IFERROR(IF(B39="","Vacant",IF(Q39&lt;0,"Expired",IF(Q39&lt;=30,"Expiring Soon",IF(Q39&lt;=90,"Active - Review","Active")))),"Vacant")</f>
        <v>Vacant</v>
      </c>
      <c r="S39" s="69"/>
      <c r="T39" s="69"/>
      <c r="U39" s="69"/>
      <c r="V39" s="69"/>
    </row>
    <row r="40" customFormat="false" ht="15" hidden="false" customHeight="false" outlineLevel="0" collapsed="false">
      <c r="A40" s="72"/>
      <c r="B40" s="72"/>
      <c r="C40" s="72"/>
      <c r="D40" s="72"/>
      <c r="E40" s="72"/>
      <c r="F40" s="72"/>
      <c r="G40" s="72"/>
      <c r="H40" s="72"/>
      <c r="I40" s="74"/>
      <c r="J40" s="74"/>
      <c r="K40" s="82" t="n">
        <f aca="false">IFERROR(DATEDIF(I40,J40,"M"),"")</f>
        <v>0</v>
      </c>
      <c r="L40" s="73"/>
      <c r="M40" s="72"/>
      <c r="N40" s="72"/>
      <c r="O40" s="73"/>
      <c r="P40" s="72"/>
      <c r="Q40" s="84" t="str">
        <f aca="true">IFERROR(IF(J40="","",J40-TODAY()),"")</f>
        <v/>
      </c>
      <c r="R40" s="85" t="str">
        <f aca="false">IFERROR(IF(B40="","Vacant",IF(Q40&lt;0,"Expired",IF(Q40&lt;=30,"Expiring Soon",IF(Q40&lt;=90,"Active - Review","Active")))),"Vacant")</f>
        <v>Vacant</v>
      </c>
      <c r="S40" s="72"/>
      <c r="T40" s="72"/>
      <c r="U40" s="72"/>
      <c r="V40" s="72"/>
    </row>
    <row r="41" customFormat="false" ht="15" hidden="false" customHeight="false" outlineLevel="0" collapsed="false">
      <c r="A41" s="69"/>
      <c r="B41" s="69"/>
      <c r="C41" s="69"/>
      <c r="D41" s="69"/>
      <c r="E41" s="69"/>
      <c r="F41" s="69"/>
      <c r="G41" s="69"/>
      <c r="H41" s="69"/>
      <c r="I41" s="71"/>
      <c r="J41" s="71"/>
      <c r="K41" s="82" t="n">
        <f aca="false">IFERROR(DATEDIF(I41,J41,"M"),"")</f>
        <v>0</v>
      </c>
      <c r="L41" s="70"/>
      <c r="M41" s="69"/>
      <c r="N41" s="69"/>
      <c r="O41" s="70"/>
      <c r="P41" s="69"/>
      <c r="Q41" s="84" t="str">
        <f aca="true">IFERROR(IF(J41="","",J41-TODAY()),"")</f>
        <v/>
      </c>
      <c r="R41" s="85" t="str">
        <f aca="false">IFERROR(IF(B41="","Vacant",IF(Q41&lt;0,"Expired",IF(Q41&lt;=30,"Expiring Soon",IF(Q41&lt;=90,"Active - Review","Active")))),"Vacant")</f>
        <v>Vacant</v>
      </c>
      <c r="S41" s="69"/>
      <c r="T41" s="69"/>
      <c r="U41" s="69"/>
      <c r="V41" s="69"/>
    </row>
    <row r="42" customFormat="false" ht="15" hidden="false" customHeight="false" outlineLevel="0" collapsed="false">
      <c r="A42" s="72"/>
      <c r="B42" s="72"/>
      <c r="C42" s="72"/>
      <c r="D42" s="72"/>
      <c r="E42" s="72"/>
      <c r="F42" s="72"/>
      <c r="G42" s="72"/>
      <c r="H42" s="72"/>
      <c r="I42" s="74"/>
      <c r="J42" s="74"/>
      <c r="K42" s="82" t="n">
        <f aca="false">IFERROR(DATEDIF(I42,J42,"M"),"")</f>
        <v>0</v>
      </c>
      <c r="L42" s="73"/>
      <c r="M42" s="72"/>
      <c r="N42" s="72"/>
      <c r="O42" s="73"/>
      <c r="P42" s="72"/>
      <c r="Q42" s="84" t="str">
        <f aca="true">IFERROR(IF(J42="","",J42-TODAY()),"")</f>
        <v/>
      </c>
      <c r="R42" s="85" t="str">
        <f aca="false">IFERROR(IF(B42="","Vacant",IF(Q42&lt;0,"Expired",IF(Q42&lt;=30,"Expiring Soon",IF(Q42&lt;=90,"Active - Review","Active")))),"Vacant")</f>
        <v>Vacant</v>
      </c>
      <c r="S42" s="72"/>
      <c r="T42" s="72"/>
      <c r="U42" s="72"/>
      <c r="V42" s="72"/>
    </row>
    <row r="43" customFormat="false" ht="15" hidden="false" customHeight="false" outlineLevel="0" collapsed="false">
      <c r="A43" s="69"/>
      <c r="B43" s="69"/>
      <c r="C43" s="69"/>
      <c r="D43" s="69"/>
      <c r="E43" s="69"/>
      <c r="F43" s="69"/>
      <c r="G43" s="69"/>
      <c r="H43" s="69"/>
      <c r="I43" s="71"/>
      <c r="J43" s="71"/>
      <c r="K43" s="82" t="n">
        <f aca="false">IFERROR(DATEDIF(I43,J43,"M"),"")</f>
        <v>0</v>
      </c>
      <c r="L43" s="70"/>
      <c r="M43" s="69"/>
      <c r="N43" s="69"/>
      <c r="O43" s="70"/>
      <c r="P43" s="69"/>
      <c r="Q43" s="84" t="str">
        <f aca="true">IFERROR(IF(J43="","",J43-TODAY()),"")</f>
        <v/>
      </c>
      <c r="R43" s="85" t="str">
        <f aca="false">IFERROR(IF(B43="","Vacant",IF(Q43&lt;0,"Expired",IF(Q43&lt;=30,"Expiring Soon",IF(Q43&lt;=90,"Active - Review","Active")))),"Vacant")</f>
        <v>Vacant</v>
      </c>
      <c r="S43" s="69"/>
      <c r="T43" s="69"/>
      <c r="U43" s="69"/>
      <c r="V43" s="69"/>
    </row>
    <row r="44" customFormat="false" ht="15" hidden="false" customHeight="false" outlineLevel="0" collapsed="false">
      <c r="A44" s="72"/>
      <c r="B44" s="72"/>
      <c r="C44" s="72"/>
      <c r="D44" s="72"/>
      <c r="E44" s="72"/>
      <c r="F44" s="72"/>
      <c r="G44" s="72"/>
      <c r="H44" s="72"/>
      <c r="I44" s="74"/>
      <c r="J44" s="74"/>
      <c r="K44" s="82" t="n">
        <f aca="false">IFERROR(DATEDIF(I44,J44,"M"),"")</f>
        <v>0</v>
      </c>
      <c r="L44" s="73"/>
      <c r="M44" s="72"/>
      <c r="N44" s="72"/>
      <c r="O44" s="73"/>
      <c r="P44" s="72"/>
      <c r="Q44" s="84" t="str">
        <f aca="true">IFERROR(IF(J44="","",J44-TODAY()),"")</f>
        <v/>
      </c>
      <c r="R44" s="85" t="str">
        <f aca="false">IFERROR(IF(B44="","Vacant",IF(Q44&lt;0,"Expired",IF(Q44&lt;=30,"Expiring Soon",IF(Q44&lt;=90,"Active - Review","Active")))),"Vacant")</f>
        <v>Vacant</v>
      </c>
      <c r="S44" s="72"/>
      <c r="T44" s="72"/>
      <c r="U44" s="72"/>
      <c r="V44" s="72"/>
    </row>
    <row r="45" customFormat="false" ht="15" hidden="false" customHeight="false" outlineLevel="0" collapsed="false">
      <c r="A45" s="69"/>
      <c r="B45" s="69"/>
      <c r="C45" s="69"/>
      <c r="D45" s="69"/>
      <c r="E45" s="69"/>
      <c r="F45" s="69"/>
      <c r="G45" s="69"/>
      <c r="H45" s="69"/>
      <c r="I45" s="71"/>
      <c r="J45" s="71"/>
      <c r="K45" s="82" t="n">
        <f aca="false">IFERROR(DATEDIF(I45,J45,"M"),"")</f>
        <v>0</v>
      </c>
      <c r="L45" s="70"/>
      <c r="M45" s="69"/>
      <c r="N45" s="69"/>
      <c r="O45" s="70"/>
      <c r="P45" s="69"/>
      <c r="Q45" s="84" t="str">
        <f aca="true">IFERROR(IF(J45="","",J45-TODAY()),"")</f>
        <v/>
      </c>
      <c r="R45" s="85" t="str">
        <f aca="false">IFERROR(IF(B45="","Vacant",IF(Q45&lt;0,"Expired",IF(Q45&lt;=30,"Expiring Soon",IF(Q45&lt;=90,"Active - Review","Active")))),"Vacant")</f>
        <v>Vacant</v>
      </c>
      <c r="S45" s="69"/>
      <c r="T45" s="69"/>
      <c r="U45" s="69"/>
      <c r="V45" s="69"/>
    </row>
    <row r="46" customFormat="false" ht="15" hidden="false" customHeight="false" outlineLevel="0" collapsed="false">
      <c r="A46" s="72"/>
      <c r="B46" s="72"/>
      <c r="C46" s="72"/>
      <c r="D46" s="72"/>
      <c r="E46" s="72"/>
      <c r="F46" s="72"/>
      <c r="G46" s="72"/>
      <c r="H46" s="72"/>
      <c r="I46" s="74"/>
      <c r="J46" s="74"/>
      <c r="K46" s="82" t="n">
        <f aca="false">IFERROR(DATEDIF(I46,J46,"M"),"")</f>
        <v>0</v>
      </c>
      <c r="L46" s="73"/>
      <c r="M46" s="72"/>
      <c r="N46" s="72"/>
      <c r="O46" s="73"/>
      <c r="P46" s="72"/>
      <c r="Q46" s="84" t="str">
        <f aca="true">IFERROR(IF(J46="","",J46-TODAY()),"")</f>
        <v/>
      </c>
      <c r="R46" s="85" t="str">
        <f aca="false">IFERROR(IF(B46="","Vacant",IF(Q46&lt;0,"Expired",IF(Q46&lt;=30,"Expiring Soon",IF(Q46&lt;=90,"Active - Review","Active")))),"Vacant")</f>
        <v>Vacant</v>
      </c>
      <c r="S46" s="72"/>
      <c r="T46" s="72"/>
      <c r="U46" s="72"/>
      <c r="V46" s="72"/>
    </row>
    <row r="47" customFormat="false" ht="15" hidden="false" customHeight="false" outlineLevel="0" collapsed="false">
      <c r="A47" s="69"/>
      <c r="B47" s="69"/>
      <c r="C47" s="69"/>
      <c r="D47" s="69"/>
      <c r="E47" s="69"/>
      <c r="F47" s="69"/>
      <c r="G47" s="69"/>
      <c r="H47" s="69"/>
      <c r="I47" s="71"/>
      <c r="J47" s="71"/>
      <c r="K47" s="82" t="n">
        <f aca="false">IFERROR(DATEDIF(I47,J47,"M"),"")</f>
        <v>0</v>
      </c>
      <c r="L47" s="70"/>
      <c r="M47" s="69"/>
      <c r="N47" s="69"/>
      <c r="O47" s="70"/>
      <c r="P47" s="69"/>
      <c r="Q47" s="84" t="str">
        <f aca="true">IFERROR(IF(J47="","",J47-TODAY()),"")</f>
        <v/>
      </c>
      <c r="R47" s="85" t="str">
        <f aca="false">IFERROR(IF(B47="","Vacant",IF(Q47&lt;0,"Expired",IF(Q47&lt;=30,"Expiring Soon",IF(Q47&lt;=90,"Active - Review","Active")))),"Vacant")</f>
        <v>Vacant</v>
      </c>
      <c r="S47" s="69"/>
      <c r="T47" s="69"/>
      <c r="U47" s="69"/>
      <c r="V47" s="69"/>
    </row>
    <row r="48" customFormat="false" ht="15" hidden="false" customHeight="false" outlineLevel="0" collapsed="false">
      <c r="A48" s="72"/>
      <c r="B48" s="72"/>
      <c r="C48" s="72"/>
      <c r="D48" s="72"/>
      <c r="E48" s="72"/>
      <c r="F48" s="72"/>
      <c r="G48" s="72"/>
      <c r="H48" s="72"/>
      <c r="I48" s="74"/>
      <c r="J48" s="74"/>
      <c r="K48" s="82" t="n">
        <f aca="false">IFERROR(DATEDIF(I48,J48,"M"),"")</f>
        <v>0</v>
      </c>
      <c r="L48" s="73"/>
      <c r="M48" s="72"/>
      <c r="N48" s="72"/>
      <c r="O48" s="73"/>
      <c r="P48" s="72"/>
      <c r="Q48" s="84" t="str">
        <f aca="true">IFERROR(IF(J48="","",J48-TODAY()),"")</f>
        <v/>
      </c>
      <c r="R48" s="85" t="str">
        <f aca="false">IFERROR(IF(B48="","Vacant",IF(Q48&lt;0,"Expired",IF(Q48&lt;=30,"Expiring Soon",IF(Q48&lt;=90,"Active - Review","Active")))),"Vacant")</f>
        <v>Vacant</v>
      </c>
      <c r="S48" s="72"/>
      <c r="T48" s="72"/>
      <c r="U48" s="72"/>
      <c r="V48" s="72"/>
    </row>
    <row r="49" customFormat="false" ht="15" hidden="false" customHeight="false" outlineLevel="0" collapsed="false">
      <c r="A49" s="69"/>
      <c r="B49" s="69"/>
      <c r="C49" s="69"/>
      <c r="D49" s="69"/>
      <c r="E49" s="69"/>
      <c r="F49" s="69"/>
      <c r="G49" s="69"/>
      <c r="H49" s="69"/>
      <c r="I49" s="71"/>
      <c r="J49" s="71"/>
      <c r="K49" s="82" t="n">
        <f aca="false">IFERROR(DATEDIF(I49,J49,"M"),"")</f>
        <v>0</v>
      </c>
      <c r="L49" s="70"/>
      <c r="M49" s="69"/>
      <c r="N49" s="69"/>
      <c r="O49" s="70"/>
      <c r="P49" s="69"/>
      <c r="Q49" s="84" t="str">
        <f aca="true">IFERROR(IF(J49="","",J49-TODAY()),"")</f>
        <v/>
      </c>
      <c r="R49" s="85" t="str">
        <f aca="false">IFERROR(IF(B49="","Vacant",IF(Q49&lt;0,"Expired",IF(Q49&lt;=30,"Expiring Soon",IF(Q49&lt;=90,"Active - Review","Active")))),"Vacant")</f>
        <v>Vacant</v>
      </c>
      <c r="S49" s="69"/>
      <c r="T49" s="69"/>
      <c r="U49" s="69"/>
      <c r="V49" s="69"/>
    </row>
    <row r="50" customFormat="false" ht="15" hidden="false" customHeight="false" outlineLevel="0" collapsed="false">
      <c r="A50" s="72"/>
      <c r="B50" s="72"/>
      <c r="C50" s="72"/>
      <c r="D50" s="72"/>
      <c r="E50" s="72"/>
      <c r="F50" s="72"/>
      <c r="G50" s="72"/>
      <c r="H50" s="72"/>
      <c r="I50" s="74"/>
      <c r="J50" s="74"/>
      <c r="K50" s="82" t="n">
        <f aca="false">IFERROR(DATEDIF(I50,J50,"M"),"")</f>
        <v>0</v>
      </c>
      <c r="L50" s="73"/>
      <c r="M50" s="72"/>
      <c r="N50" s="72"/>
      <c r="O50" s="73"/>
      <c r="P50" s="72"/>
      <c r="Q50" s="84" t="str">
        <f aca="true">IFERROR(IF(J50="","",J50-TODAY()),"")</f>
        <v/>
      </c>
      <c r="R50" s="85" t="str">
        <f aca="false">IFERROR(IF(B50="","Vacant",IF(Q50&lt;0,"Expired",IF(Q50&lt;=30,"Expiring Soon",IF(Q50&lt;=90,"Active - Review","Active")))),"Vacant")</f>
        <v>Vacant</v>
      </c>
      <c r="S50" s="72"/>
      <c r="T50" s="72"/>
      <c r="U50" s="72"/>
      <c r="V50" s="72"/>
    </row>
    <row r="51" customFormat="false" ht="15" hidden="false" customHeight="false" outlineLevel="0" collapsed="false">
      <c r="A51" s="69"/>
      <c r="B51" s="69"/>
      <c r="C51" s="69"/>
      <c r="D51" s="69"/>
      <c r="E51" s="69"/>
      <c r="F51" s="69"/>
      <c r="G51" s="69"/>
      <c r="H51" s="69"/>
      <c r="I51" s="71"/>
      <c r="J51" s="71"/>
      <c r="K51" s="82" t="n">
        <f aca="false">IFERROR(DATEDIF(I51,J51,"M"),"")</f>
        <v>0</v>
      </c>
      <c r="L51" s="70"/>
      <c r="M51" s="69"/>
      <c r="N51" s="69"/>
      <c r="O51" s="70"/>
      <c r="P51" s="69"/>
      <c r="Q51" s="84" t="str">
        <f aca="true">IFERROR(IF(J51="","",J51-TODAY()),"")</f>
        <v/>
      </c>
      <c r="R51" s="85" t="str">
        <f aca="false">IFERROR(IF(B51="","Vacant",IF(Q51&lt;0,"Expired",IF(Q51&lt;=30,"Expiring Soon",IF(Q51&lt;=90,"Active - Review","Active")))),"Vacant")</f>
        <v>Vacant</v>
      </c>
      <c r="S51" s="69"/>
      <c r="T51" s="69"/>
      <c r="U51" s="69"/>
      <c r="V51" s="69"/>
    </row>
    <row r="52" customFormat="false" ht="15" hidden="false" customHeight="false" outlineLevel="0" collapsed="false">
      <c r="A52" s="72"/>
      <c r="B52" s="72"/>
      <c r="C52" s="72"/>
      <c r="D52" s="72"/>
      <c r="E52" s="72"/>
      <c r="F52" s="72"/>
      <c r="G52" s="72"/>
      <c r="H52" s="72"/>
      <c r="I52" s="74"/>
      <c r="J52" s="74"/>
      <c r="K52" s="82" t="n">
        <f aca="false">IFERROR(DATEDIF(I52,J52,"M"),"")</f>
        <v>0</v>
      </c>
      <c r="L52" s="73"/>
      <c r="M52" s="72"/>
      <c r="N52" s="72"/>
      <c r="O52" s="73"/>
      <c r="P52" s="72"/>
      <c r="Q52" s="84" t="str">
        <f aca="true">IFERROR(IF(J52="","",J52-TODAY()),"")</f>
        <v/>
      </c>
      <c r="R52" s="85" t="str">
        <f aca="false">IFERROR(IF(B52="","Vacant",IF(Q52&lt;0,"Expired",IF(Q52&lt;=30,"Expiring Soon",IF(Q52&lt;=90,"Active - Review","Active")))),"Vacant")</f>
        <v>Vacant</v>
      </c>
      <c r="S52" s="72"/>
      <c r="T52" s="72"/>
      <c r="U52" s="72"/>
      <c r="V52" s="72"/>
    </row>
    <row r="53" customFormat="false" ht="15" hidden="false" customHeight="false" outlineLevel="0" collapsed="false">
      <c r="A53" s="69"/>
      <c r="B53" s="69"/>
      <c r="C53" s="69"/>
      <c r="D53" s="69"/>
      <c r="E53" s="69"/>
      <c r="F53" s="69"/>
      <c r="G53" s="69"/>
      <c r="H53" s="69"/>
      <c r="I53" s="71"/>
      <c r="J53" s="71"/>
      <c r="K53" s="82" t="n">
        <f aca="false">IFERROR(DATEDIF(I53,J53,"M"),"")</f>
        <v>0</v>
      </c>
      <c r="L53" s="70"/>
      <c r="M53" s="69"/>
      <c r="N53" s="69"/>
      <c r="O53" s="70"/>
      <c r="P53" s="69"/>
      <c r="Q53" s="84" t="str">
        <f aca="true">IFERROR(IF(J53="","",J53-TODAY()),"")</f>
        <v/>
      </c>
      <c r="R53" s="85" t="str">
        <f aca="false">IFERROR(IF(B53="","Vacant",IF(Q53&lt;0,"Expired",IF(Q53&lt;=30,"Expiring Soon",IF(Q53&lt;=90,"Active - Review","Active")))),"Vacant")</f>
        <v>Vacant</v>
      </c>
      <c r="S53" s="69"/>
      <c r="T53" s="69"/>
      <c r="U53" s="69"/>
      <c r="V53" s="69"/>
    </row>
  </sheetData>
  <mergeCells count="2">
    <mergeCell ref="A1:V1"/>
    <mergeCell ref="A2:V2"/>
  </mergeCells>
  <conditionalFormatting sqref="R4:R53">
    <cfRule type="expression" priority="2" aboveAverage="0" equalAverage="0" bottom="0" percent="0" rank="0" text="" dxfId="0">
      <formula>OR(R4="Expired",R4="Terminated")</formula>
    </cfRule>
    <cfRule type="expression" priority="3" aboveAverage="0" equalAverage="0" bottom="0" percent="0" rank="0" text="" dxfId="1">
      <formula>R4="Expiring Soon"</formula>
    </cfRule>
    <cfRule type="expression" priority="4" aboveAverage="0" equalAverage="0" bottom="0" percent="0" rank="0" text="" dxfId="2">
      <formula>OR(R4="Active",R4="Active - Review")</formula>
    </cfRule>
  </conditionalFormatting>
  <conditionalFormatting sqref="Q4:Q53">
    <cfRule type="colorScale" priority="5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dataValidations count="4">
    <dataValidation allowBlank="true" errorStyle="stop" operator="between" showDropDown="false" showErrorMessage="false" showInputMessage="false" sqref="G4:G53" type="list">
      <formula1>LOOKUP!$B$2:$B$8</formula1>
      <formula2>0</formula2>
    </dataValidation>
    <dataValidation allowBlank="true" errorStyle="stop" operator="between" showDropDown="false" showErrorMessage="false" showInputMessage="false" sqref="M4:M53" type="list">
      <formula1>LOOKUP!$B$18:$B$22</formula1>
      <formula2>0</formula2>
    </dataValidation>
    <dataValidation allowBlank="true" errorStyle="stop" operator="between" showDropDown="false" showErrorMessage="false" showInputMessage="false" sqref="N4:N53" type="list">
      <formula1>LOOKUP!$B$14:$B$17</formula1>
      <formula2>0</formula2>
    </dataValidation>
    <dataValidation allowBlank="true" errorStyle="stop" operator="between" showDropDown="false" showErrorMessage="false" showInputMessage="false" sqref="P4:P53" type="list">
      <formula1>LOOKUP!$B$23:$B$27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2" min="1" style="0" width="12"/>
    <col collapsed="false" customWidth="true" hidden="false" outlineLevel="0" max="3" min="3" style="0" width="25"/>
    <col collapsed="false" customWidth="true" hidden="false" outlineLevel="0" max="5" min="4" style="0" width="15"/>
  </cols>
  <sheetData>
    <row r="1" customFormat="false" ht="15" hidden="false" customHeight="false" outlineLevel="0" collapsed="false">
      <c r="A1" s="0" t="s">
        <v>148</v>
      </c>
      <c r="B1" s="0" t="s">
        <v>17</v>
      </c>
      <c r="C1" s="0" t="s">
        <v>18</v>
      </c>
      <c r="D1" s="0" t="s">
        <v>86</v>
      </c>
      <c r="E1" s="0" t="s">
        <v>22</v>
      </c>
    </row>
    <row r="2" customFormat="false" ht="15" hidden="false" customHeight="false" outlineLevel="0" collapsed="false">
      <c r="A2" s="0" t="s">
        <v>149</v>
      </c>
      <c r="C2" s="0" t="str">
        <f aca="false">IFERROR(INDEX(TENANTS!$B$4:$B$53,MATCH(A2,TENANTS!$F$4:$F$53,0)),"Vacant")</f>
        <v>Vacant</v>
      </c>
      <c r="D2" s="0" t="str">
        <f aca="false">IFERROR(INDEX(TENANTS!$L$4:$L$53,MATCH(A2,TENANTS!$F$4:$F$53,0)),"")</f>
        <v/>
      </c>
      <c r="E2" s="0" t="str">
        <f aca="false">IF(C2="Vacant","Vacant","Occupied")</f>
        <v>Vacant</v>
      </c>
    </row>
    <row r="3" customFormat="false" ht="15" hidden="false" customHeight="false" outlineLevel="0" collapsed="false">
      <c r="A3" s="0" t="s">
        <v>150</v>
      </c>
      <c r="C3" s="0" t="str">
        <f aca="false">IFERROR(INDEX(TENANTS!$B$4:$B$53,MATCH(A3,TENANTS!$F$4:$F$53,0)),"Vacant")</f>
        <v>Vacant</v>
      </c>
      <c r="D3" s="0" t="str">
        <f aca="false">IFERROR(INDEX(TENANTS!$L$4:$L$53,MATCH(A3,TENANTS!$F$4:$F$53,0)),"")</f>
        <v/>
      </c>
      <c r="E3" s="0" t="str">
        <f aca="false">IF(C3="Vacant","Vacant","Occupied")</f>
        <v>Vacant</v>
      </c>
    </row>
    <row r="4" customFormat="false" ht="15" hidden="false" customHeight="false" outlineLevel="0" collapsed="false">
      <c r="A4" s="0" t="s">
        <v>151</v>
      </c>
      <c r="C4" s="0" t="str">
        <f aca="false">IFERROR(INDEX(TENANTS!$B$4:$B$53,MATCH(A4,TENANTS!$F$4:$F$53,0)),"Vacant")</f>
        <v>Vacant</v>
      </c>
      <c r="D4" s="0" t="str">
        <f aca="false">IFERROR(INDEX(TENANTS!$L$4:$L$53,MATCH(A4,TENANTS!$F$4:$F$53,0)),"")</f>
        <v/>
      </c>
      <c r="E4" s="0" t="str">
        <f aca="false">IF(C4="Vacant","Vacant","Occupied")</f>
        <v>Vacant</v>
      </c>
    </row>
    <row r="5" customFormat="false" ht="15" hidden="false" customHeight="false" outlineLevel="0" collapsed="false">
      <c r="A5" s="0" t="s">
        <v>152</v>
      </c>
      <c r="C5" s="0" t="str">
        <f aca="false">IFERROR(INDEX(TENANTS!$B$4:$B$53,MATCH(A5,TENANTS!$F$4:$F$53,0)),"Vacant")</f>
        <v>Vacant</v>
      </c>
      <c r="D5" s="0" t="str">
        <f aca="false">IFERROR(INDEX(TENANTS!$L$4:$L$53,MATCH(A5,TENANTS!$F$4:$F$53,0)),"")</f>
        <v/>
      </c>
      <c r="E5" s="0" t="str">
        <f aca="false">IF(C5="Vacant","Vacant","Occupied")</f>
        <v>Vacant</v>
      </c>
    </row>
    <row r="6" customFormat="false" ht="15" hidden="false" customHeight="false" outlineLevel="0" collapsed="false">
      <c r="A6" s="0" t="s">
        <v>153</v>
      </c>
      <c r="C6" s="0" t="str">
        <f aca="false">IFERROR(INDEX(TENANTS!$B$4:$B$53,MATCH(A6,TENANTS!$F$4:$F$53,0)),"Vacant")</f>
        <v>Vacant</v>
      </c>
      <c r="D6" s="0" t="str">
        <f aca="false">IFERROR(INDEX(TENANTS!$L$4:$L$53,MATCH(A6,TENANTS!$F$4:$F$53,0)),"")</f>
        <v/>
      </c>
      <c r="E6" s="0" t="str">
        <f aca="false">IF(C6="Vacant","Vacant","Occupied")</f>
        <v>Vacant</v>
      </c>
    </row>
    <row r="7" customFormat="false" ht="15" hidden="false" customHeight="false" outlineLevel="0" collapsed="false">
      <c r="A7" s="0" t="s">
        <v>154</v>
      </c>
      <c r="C7" s="0" t="str">
        <f aca="false">IFERROR(INDEX(TENANTS!$B$4:$B$53,MATCH(A7,TENANTS!$F$4:$F$53,0)),"Vacant")</f>
        <v>Vacant</v>
      </c>
      <c r="D7" s="0" t="str">
        <f aca="false">IFERROR(INDEX(TENANTS!$L$4:$L$53,MATCH(A7,TENANTS!$F$4:$F$53,0)),"")</f>
        <v/>
      </c>
      <c r="E7" s="0" t="str">
        <f aca="false">IF(C7="Vacant","Vacant","Occupied")</f>
        <v>Vacant</v>
      </c>
    </row>
    <row r="8" customFormat="false" ht="15" hidden="false" customHeight="false" outlineLevel="0" collapsed="false">
      <c r="A8" s="0" t="s">
        <v>155</v>
      </c>
      <c r="C8" s="0" t="str">
        <f aca="false">IFERROR(INDEX(TENANTS!$B$4:$B$53,MATCH(A8,TENANTS!$F$4:$F$53,0)),"Vacant")</f>
        <v>Vacant</v>
      </c>
      <c r="D8" s="0" t="str">
        <f aca="false">IFERROR(INDEX(TENANTS!$L$4:$L$53,MATCH(A8,TENANTS!$F$4:$F$53,0)),"")</f>
        <v/>
      </c>
      <c r="E8" s="0" t="str">
        <f aca="false">IF(C8="Vacant","Vacant","Occupied")</f>
        <v>Vacant</v>
      </c>
    </row>
    <row r="9" customFormat="false" ht="15" hidden="false" customHeight="false" outlineLevel="0" collapsed="false">
      <c r="A9" s="0" t="s">
        <v>156</v>
      </c>
      <c r="C9" s="0" t="str">
        <f aca="false">IFERROR(INDEX(TENANTS!$B$4:$B$53,MATCH(A9,TENANTS!$F$4:$F$53,0)),"Vacant")</f>
        <v>Vacant</v>
      </c>
      <c r="D9" s="0" t="str">
        <f aca="false">IFERROR(INDEX(TENANTS!$L$4:$L$53,MATCH(A9,TENANTS!$F$4:$F$53,0)),"")</f>
        <v/>
      </c>
      <c r="E9" s="0" t="str">
        <f aca="false">IF(C9="Vacant","Vacant","Occupied")</f>
        <v>Vacant</v>
      </c>
    </row>
    <row r="10" customFormat="false" ht="15" hidden="false" customHeight="false" outlineLevel="0" collapsed="false">
      <c r="A10" s="0" t="s">
        <v>157</v>
      </c>
      <c r="C10" s="0" t="str">
        <f aca="false">IFERROR(INDEX(TENANTS!$B$4:$B$53,MATCH(A10,TENANTS!$F$4:$F$53,0)),"Vacant")</f>
        <v>Vacant</v>
      </c>
      <c r="D10" s="0" t="str">
        <f aca="false">IFERROR(INDEX(TENANTS!$L$4:$L$53,MATCH(A10,TENANTS!$F$4:$F$53,0)),"")</f>
        <v/>
      </c>
      <c r="E10" s="0" t="str">
        <f aca="false">IF(C10="Vacant","Vacant","Occupied")</f>
        <v>Vacant</v>
      </c>
    </row>
    <row r="11" customFormat="false" ht="15" hidden="false" customHeight="false" outlineLevel="0" collapsed="false">
      <c r="A11" s="0" t="s">
        <v>158</v>
      </c>
      <c r="C11" s="0" t="str">
        <f aca="false">IFERROR(INDEX(TENANTS!$B$4:$B$53,MATCH(A11,TENANTS!$F$4:$F$53,0)),"Vacant")</f>
        <v>Vacant</v>
      </c>
      <c r="D11" s="0" t="str">
        <f aca="false">IFERROR(INDEX(TENANTS!$L$4:$L$53,MATCH(A11,TENANTS!$F$4:$F$53,0)),"")</f>
        <v/>
      </c>
      <c r="E11" s="0" t="str">
        <f aca="false">IF(C11="Vacant","Vacant","Occupied")</f>
        <v>Vacant</v>
      </c>
    </row>
    <row r="12" customFormat="false" ht="15" hidden="false" customHeight="false" outlineLevel="0" collapsed="false">
      <c r="A12" s="0" t="s">
        <v>159</v>
      </c>
      <c r="C12" s="0" t="str">
        <f aca="false">IFERROR(INDEX(TENANTS!$B$4:$B$53,MATCH(A12,TENANTS!$F$4:$F$53,0)),"Vacant")</f>
        <v>Vacant</v>
      </c>
      <c r="D12" s="0" t="str">
        <f aca="false">IFERROR(INDEX(TENANTS!$L$4:$L$53,MATCH(A12,TENANTS!$F$4:$F$53,0)),"")</f>
        <v/>
      </c>
      <c r="E12" s="0" t="str">
        <f aca="false">IF(C12="Vacant","Vacant","Occupied")</f>
        <v>Vacant</v>
      </c>
    </row>
    <row r="13" customFormat="false" ht="15" hidden="false" customHeight="false" outlineLevel="0" collapsed="false">
      <c r="A13" s="0" t="s">
        <v>160</v>
      </c>
      <c r="C13" s="0" t="str">
        <f aca="false">IFERROR(INDEX(TENANTS!$B$4:$B$53,MATCH(A13,TENANTS!$F$4:$F$53,0)),"Vacant")</f>
        <v>Vacant</v>
      </c>
      <c r="D13" s="0" t="str">
        <f aca="false">IFERROR(INDEX(TENANTS!$L$4:$L$53,MATCH(A13,TENANTS!$F$4:$F$53,0)),"")</f>
        <v/>
      </c>
      <c r="E13" s="0" t="str">
        <f aca="false">IF(C13="Vacant","Vacant","Occupied")</f>
        <v>Vacant</v>
      </c>
    </row>
  </sheetData>
  <conditionalFormatting sqref="E2:E13">
    <cfRule type="expression" priority="2" aboveAverage="0" equalAverage="0" bottom="0" percent="0" rank="0" text="" dxfId="2">
      <formula>E2="Occupied"</formula>
    </cfRule>
    <cfRule type="expression" priority="3" aboveAverage="0" equalAverage="0" bottom="0" percent="0" rank="0" text="" dxfId="0">
      <formula>E2="Vacant"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Q5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11"/>
    <col collapsed="false" customWidth="true" hidden="false" outlineLevel="0" max="3" min="3" style="0" width="22"/>
    <col collapsed="false" customWidth="true" hidden="false" outlineLevel="0" max="4" min="4" style="0" width="10"/>
    <col collapsed="false" customWidth="true" hidden="false" outlineLevel="0" max="7" min="5" style="0" width="13"/>
    <col collapsed="false" customWidth="true" hidden="false" outlineLevel="0" max="8" min="8" style="0" width="10"/>
    <col collapsed="false" customWidth="true" hidden="false" outlineLevel="0" max="9" min="9" style="0" width="11"/>
    <col collapsed="false" customWidth="true" hidden="false" outlineLevel="0" max="10" min="10" style="0" width="16"/>
    <col collapsed="false" customWidth="true" hidden="false" outlineLevel="0" max="11" min="11" style="0" width="13"/>
    <col collapsed="false" customWidth="true" hidden="false" outlineLevel="0" max="12" min="12" style="0" width="14"/>
    <col collapsed="false" customWidth="true" hidden="false" outlineLevel="0" max="13" min="13" style="0" width="13"/>
    <col collapsed="false" customWidth="true" hidden="false" outlineLevel="0" max="14" min="14" style="0" width="10"/>
    <col collapsed="false" customWidth="true" hidden="false" outlineLevel="0" max="15" min="15" style="0" width="13"/>
    <col collapsed="false" customWidth="true" hidden="false" outlineLevel="0" max="16" min="16" style="0" width="15"/>
    <col collapsed="false" customWidth="true" hidden="false" outlineLevel="0" max="17" min="17" style="0" width="28"/>
  </cols>
  <sheetData>
    <row r="1" customFormat="false" ht="31.5" hidden="false" customHeight="true" outlineLevel="0" collapsed="false">
      <c r="A1" s="86" t="s">
        <v>161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</row>
    <row r="2" customFormat="false" ht="18" hidden="false" customHeight="true" outlineLevel="0" collapsed="false">
      <c r="A2" s="78" t="s">
        <v>162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</row>
    <row r="3" customFormat="false" ht="21.75" hidden="false" customHeight="true" outlineLevel="0" collapsed="false">
      <c r="A3" s="87" t="s">
        <v>163</v>
      </c>
      <c r="B3" s="87" t="s">
        <v>17</v>
      </c>
      <c r="C3" s="87" t="s">
        <v>18</v>
      </c>
      <c r="D3" s="87" t="s">
        <v>19</v>
      </c>
      <c r="E3" s="87" t="s">
        <v>164</v>
      </c>
      <c r="F3" s="87" t="s">
        <v>165</v>
      </c>
      <c r="G3" s="87" t="s">
        <v>20</v>
      </c>
      <c r="H3" s="87" t="s">
        <v>166</v>
      </c>
      <c r="I3" s="87" t="s">
        <v>167</v>
      </c>
      <c r="J3" s="87" t="s">
        <v>168</v>
      </c>
      <c r="K3" s="87" t="s">
        <v>113</v>
      </c>
      <c r="L3" s="87" t="s">
        <v>169</v>
      </c>
      <c r="M3" s="87" t="s">
        <v>86</v>
      </c>
      <c r="N3" s="87" t="s">
        <v>60</v>
      </c>
      <c r="O3" s="87" t="s">
        <v>170</v>
      </c>
      <c r="P3" s="87" t="s">
        <v>171</v>
      </c>
      <c r="Q3" s="87" t="s">
        <v>172</v>
      </c>
    </row>
    <row r="4" customFormat="false" ht="15" hidden="false" customHeight="false" outlineLevel="0" collapsed="false">
      <c r="A4" s="80" t="s">
        <v>173</v>
      </c>
      <c r="B4" s="80" t="s">
        <v>79</v>
      </c>
      <c r="C4" s="80" t="s">
        <v>116</v>
      </c>
      <c r="D4" s="80" t="s">
        <v>120</v>
      </c>
      <c r="E4" s="81" t="n">
        <v>45292</v>
      </c>
      <c r="F4" s="81" t="n">
        <v>45292</v>
      </c>
      <c r="G4" s="81" t="n">
        <v>45657</v>
      </c>
      <c r="H4" s="80" t="s">
        <v>74</v>
      </c>
      <c r="I4" s="80" t="n">
        <v>0</v>
      </c>
      <c r="J4" s="80"/>
      <c r="K4" s="82" t="n">
        <f aca="false">IFERROR(DATEDIF(F4,G4,"M"),"")</f>
        <v>11</v>
      </c>
      <c r="L4" s="83" t="n">
        <v>42000</v>
      </c>
      <c r="M4" s="88" t="n">
        <f aca="false">IFERROR(IF(L4="","",L4/12),"")</f>
        <v>3500</v>
      </c>
      <c r="N4" s="80" t="s">
        <v>61</v>
      </c>
      <c r="O4" s="89" t="n">
        <v>0.05</v>
      </c>
      <c r="P4" s="90" t="n">
        <f aca="false">IFERROR(IF(G4="","",G4-365),"")</f>
        <v>45292</v>
      </c>
      <c r="Q4" s="80"/>
    </row>
    <row r="5" customFormat="false" ht="15" hidden="false" customHeight="false" outlineLevel="0" collapsed="false">
      <c r="A5" s="69"/>
      <c r="B5" s="69"/>
      <c r="C5" s="69"/>
      <c r="D5" s="69"/>
      <c r="E5" s="71"/>
      <c r="F5" s="71"/>
      <c r="G5" s="71"/>
      <c r="H5" s="69"/>
      <c r="I5" s="69"/>
      <c r="J5" s="69"/>
      <c r="K5" s="82" t="n">
        <f aca="false">IFERROR(DATEDIF(F5,G5,"M"),"")</f>
        <v>0</v>
      </c>
      <c r="L5" s="70"/>
      <c r="M5" s="88" t="str">
        <f aca="false">IFERROR(IF(L5="","",L5/12),"")</f>
        <v/>
      </c>
      <c r="N5" s="69"/>
      <c r="O5" s="91"/>
      <c r="P5" s="90" t="str">
        <f aca="false">IFERROR(IF(G5="","",G5-365),"")</f>
        <v/>
      </c>
      <c r="Q5" s="69"/>
    </row>
    <row r="6" customFormat="false" ht="15" hidden="false" customHeight="false" outlineLevel="0" collapsed="false">
      <c r="A6" s="72"/>
      <c r="B6" s="72"/>
      <c r="C6" s="72"/>
      <c r="D6" s="72"/>
      <c r="E6" s="74"/>
      <c r="F6" s="74"/>
      <c r="G6" s="74"/>
      <c r="H6" s="72"/>
      <c r="I6" s="72"/>
      <c r="J6" s="72"/>
      <c r="K6" s="82" t="n">
        <f aca="false">IFERROR(DATEDIF(F6,G6,"M"),"")</f>
        <v>0</v>
      </c>
      <c r="L6" s="73"/>
      <c r="M6" s="88" t="str">
        <f aca="false">IFERROR(IF(L6="","",L6/12),"")</f>
        <v/>
      </c>
      <c r="N6" s="72"/>
      <c r="O6" s="92"/>
      <c r="P6" s="90" t="str">
        <f aca="false">IFERROR(IF(G6="","",G6-365),"")</f>
        <v/>
      </c>
      <c r="Q6" s="72"/>
    </row>
    <row r="7" customFormat="false" ht="15" hidden="false" customHeight="false" outlineLevel="0" collapsed="false">
      <c r="A7" s="69"/>
      <c r="B7" s="69"/>
      <c r="C7" s="69"/>
      <c r="D7" s="69"/>
      <c r="E7" s="71"/>
      <c r="F7" s="71"/>
      <c r="G7" s="71"/>
      <c r="H7" s="69"/>
      <c r="I7" s="69"/>
      <c r="J7" s="69"/>
      <c r="K7" s="82" t="n">
        <f aca="false">IFERROR(DATEDIF(F7,G7,"M"),"")</f>
        <v>0</v>
      </c>
      <c r="L7" s="70"/>
      <c r="M7" s="88" t="str">
        <f aca="false">IFERROR(IF(L7="","",L7/12),"")</f>
        <v/>
      </c>
      <c r="N7" s="69"/>
      <c r="O7" s="91"/>
      <c r="P7" s="90" t="str">
        <f aca="false">IFERROR(IF(G7="","",G7-365),"")</f>
        <v/>
      </c>
      <c r="Q7" s="69"/>
    </row>
    <row r="8" customFormat="false" ht="15" hidden="false" customHeight="false" outlineLevel="0" collapsed="false">
      <c r="A8" s="72"/>
      <c r="B8" s="72"/>
      <c r="C8" s="72"/>
      <c r="D8" s="72"/>
      <c r="E8" s="74"/>
      <c r="F8" s="74"/>
      <c r="G8" s="74"/>
      <c r="H8" s="72"/>
      <c r="I8" s="72"/>
      <c r="J8" s="72"/>
      <c r="K8" s="82" t="n">
        <f aca="false">IFERROR(DATEDIF(F8,G8,"M"),"")</f>
        <v>0</v>
      </c>
      <c r="L8" s="73"/>
      <c r="M8" s="88" t="str">
        <f aca="false">IFERROR(IF(L8="","",L8/12),"")</f>
        <v/>
      </c>
      <c r="N8" s="72"/>
      <c r="O8" s="92"/>
      <c r="P8" s="90" t="str">
        <f aca="false">IFERROR(IF(G8="","",G8-365),"")</f>
        <v/>
      </c>
      <c r="Q8" s="72"/>
    </row>
    <row r="9" customFormat="false" ht="15" hidden="false" customHeight="false" outlineLevel="0" collapsed="false">
      <c r="A9" s="69"/>
      <c r="B9" s="69"/>
      <c r="C9" s="69"/>
      <c r="D9" s="69"/>
      <c r="E9" s="71"/>
      <c r="F9" s="71"/>
      <c r="G9" s="71"/>
      <c r="H9" s="69"/>
      <c r="I9" s="69"/>
      <c r="J9" s="69"/>
      <c r="K9" s="82" t="n">
        <f aca="false">IFERROR(DATEDIF(F9,G9,"M"),"")</f>
        <v>0</v>
      </c>
      <c r="L9" s="70"/>
      <c r="M9" s="88" t="str">
        <f aca="false">IFERROR(IF(L9="","",L9/12),"")</f>
        <v/>
      </c>
      <c r="N9" s="69"/>
      <c r="O9" s="91"/>
      <c r="P9" s="90" t="str">
        <f aca="false">IFERROR(IF(G9="","",G9-365),"")</f>
        <v/>
      </c>
      <c r="Q9" s="69"/>
    </row>
    <row r="10" customFormat="false" ht="15" hidden="false" customHeight="false" outlineLevel="0" collapsed="false">
      <c r="A10" s="72"/>
      <c r="B10" s="72"/>
      <c r="C10" s="72"/>
      <c r="D10" s="72"/>
      <c r="E10" s="74"/>
      <c r="F10" s="74"/>
      <c r="G10" s="74"/>
      <c r="H10" s="72"/>
      <c r="I10" s="72"/>
      <c r="J10" s="72"/>
      <c r="K10" s="82" t="n">
        <f aca="false">IFERROR(DATEDIF(F10,G10,"M"),"")</f>
        <v>0</v>
      </c>
      <c r="L10" s="73"/>
      <c r="M10" s="88" t="str">
        <f aca="false">IFERROR(IF(L10="","",L10/12),"")</f>
        <v/>
      </c>
      <c r="N10" s="72"/>
      <c r="O10" s="92"/>
      <c r="P10" s="90" t="str">
        <f aca="false">IFERROR(IF(G10="","",G10-365),"")</f>
        <v/>
      </c>
      <c r="Q10" s="72"/>
    </row>
    <row r="11" customFormat="false" ht="15" hidden="false" customHeight="false" outlineLevel="0" collapsed="false">
      <c r="A11" s="69"/>
      <c r="B11" s="69"/>
      <c r="C11" s="69"/>
      <c r="D11" s="69"/>
      <c r="E11" s="71"/>
      <c r="F11" s="71"/>
      <c r="G11" s="71"/>
      <c r="H11" s="69"/>
      <c r="I11" s="69"/>
      <c r="J11" s="69"/>
      <c r="K11" s="82" t="n">
        <f aca="false">IFERROR(DATEDIF(F11,G11,"M"),"")</f>
        <v>0</v>
      </c>
      <c r="L11" s="70"/>
      <c r="M11" s="88" t="str">
        <f aca="false">IFERROR(IF(L11="","",L11/12),"")</f>
        <v/>
      </c>
      <c r="N11" s="69"/>
      <c r="O11" s="91"/>
      <c r="P11" s="90" t="str">
        <f aca="false">IFERROR(IF(G11="","",G11-365),"")</f>
        <v/>
      </c>
      <c r="Q11" s="69"/>
    </row>
    <row r="12" customFormat="false" ht="15" hidden="false" customHeight="false" outlineLevel="0" collapsed="false">
      <c r="A12" s="72"/>
      <c r="B12" s="72"/>
      <c r="C12" s="72"/>
      <c r="D12" s="72"/>
      <c r="E12" s="74"/>
      <c r="F12" s="74"/>
      <c r="G12" s="74"/>
      <c r="H12" s="72"/>
      <c r="I12" s="72"/>
      <c r="J12" s="72"/>
      <c r="K12" s="82" t="n">
        <f aca="false">IFERROR(DATEDIF(F12,G12,"M"),"")</f>
        <v>0</v>
      </c>
      <c r="L12" s="73"/>
      <c r="M12" s="88" t="str">
        <f aca="false">IFERROR(IF(L12="","",L12/12),"")</f>
        <v/>
      </c>
      <c r="N12" s="72"/>
      <c r="O12" s="92"/>
      <c r="P12" s="90" t="str">
        <f aca="false">IFERROR(IF(G12="","",G12-365),"")</f>
        <v/>
      </c>
      <c r="Q12" s="72"/>
    </row>
    <row r="13" customFormat="false" ht="15" hidden="false" customHeight="false" outlineLevel="0" collapsed="false">
      <c r="A13" s="69"/>
      <c r="B13" s="69"/>
      <c r="C13" s="69"/>
      <c r="D13" s="69"/>
      <c r="E13" s="71"/>
      <c r="F13" s="71"/>
      <c r="G13" s="71"/>
      <c r="H13" s="69"/>
      <c r="I13" s="69"/>
      <c r="J13" s="69"/>
      <c r="K13" s="82" t="n">
        <f aca="false">IFERROR(DATEDIF(F13,G13,"M"),"")</f>
        <v>0</v>
      </c>
      <c r="L13" s="70"/>
      <c r="M13" s="88" t="str">
        <f aca="false">IFERROR(IF(L13="","",L13/12),"")</f>
        <v/>
      </c>
      <c r="N13" s="69"/>
      <c r="O13" s="91"/>
      <c r="P13" s="90" t="str">
        <f aca="false">IFERROR(IF(G13="","",G13-365),"")</f>
        <v/>
      </c>
      <c r="Q13" s="69"/>
    </row>
    <row r="14" customFormat="false" ht="15" hidden="false" customHeight="false" outlineLevel="0" collapsed="false">
      <c r="A14" s="72"/>
      <c r="B14" s="72"/>
      <c r="C14" s="72"/>
      <c r="D14" s="72"/>
      <c r="E14" s="74"/>
      <c r="F14" s="74"/>
      <c r="G14" s="74"/>
      <c r="H14" s="72"/>
      <c r="I14" s="72"/>
      <c r="J14" s="72"/>
      <c r="K14" s="82" t="n">
        <f aca="false">IFERROR(DATEDIF(F14,G14,"M"),"")</f>
        <v>0</v>
      </c>
      <c r="L14" s="73"/>
      <c r="M14" s="88" t="str">
        <f aca="false">IFERROR(IF(L14="","",L14/12),"")</f>
        <v/>
      </c>
      <c r="N14" s="72"/>
      <c r="O14" s="92"/>
      <c r="P14" s="90" t="str">
        <f aca="false">IFERROR(IF(G14="","",G14-365),"")</f>
        <v/>
      </c>
      <c r="Q14" s="72"/>
    </row>
    <row r="15" customFormat="false" ht="15" hidden="false" customHeight="false" outlineLevel="0" collapsed="false">
      <c r="A15" s="69"/>
      <c r="B15" s="69"/>
      <c r="C15" s="69"/>
      <c r="D15" s="69"/>
      <c r="E15" s="71"/>
      <c r="F15" s="71"/>
      <c r="G15" s="71"/>
      <c r="H15" s="69"/>
      <c r="I15" s="69"/>
      <c r="J15" s="69"/>
      <c r="K15" s="82" t="n">
        <f aca="false">IFERROR(DATEDIF(F15,G15,"M"),"")</f>
        <v>0</v>
      </c>
      <c r="L15" s="70"/>
      <c r="M15" s="88" t="str">
        <f aca="false">IFERROR(IF(L15="","",L15/12),"")</f>
        <v/>
      </c>
      <c r="N15" s="69"/>
      <c r="O15" s="91"/>
      <c r="P15" s="90" t="str">
        <f aca="false">IFERROR(IF(G15="","",G15-365),"")</f>
        <v/>
      </c>
      <c r="Q15" s="69"/>
    </row>
    <row r="16" customFormat="false" ht="15" hidden="false" customHeight="false" outlineLevel="0" collapsed="false">
      <c r="A16" s="72"/>
      <c r="B16" s="72"/>
      <c r="C16" s="72"/>
      <c r="D16" s="72"/>
      <c r="E16" s="74"/>
      <c r="F16" s="74"/>
      <c r="G16" s="74"/>
      <c r="H16" s="72"/>
      <c r="I16" s="72"/>
      <c r="J16" s="72"/>
      <c r="K16" s="82" t="n">
        <f aca="false">IFERROR(DATEDIF(F16,G16,"M"),"")</f>
        <v>0</v>
      </c>
      <c r="L16" s="73"/>
      <c r="M16" s="88" t="str">
        <f aca="false">IFERROR(IF(L16="","",L16/12),"")</f>
        <v/>
      </c>
      <c r="N16" s="72"/>
      <c r="O16" s="92"/>
      <c r="P16" s="90" t="str">
        <f aca="false">IFERROR(IF(G16="","",G16-365),"")</f>
        <v/>
      </c>
      <c r="Q16" s="72"/>
    </row>
    <row r="17" customFormat="false" ht="15" hidden="false" customHeight="false" outlineLevel="0" collapsed="false">
      <c r="A17" s="69"/>
      <c r="B17" s="69"/>
      <c r="C17" s="69"/>
      <c r="D17" s="69"/>
      <c r="E17" s="71"/>
      <c r="F17" s="71"/>
      <c r="G17" s="71"/>
      <c r="H17" s="69"/>
      <c r="I17" s="69"/>
      <c r="J17" s="69"/>
      <c r="K17" s="82" t="n">
        <f aca="false">IFERROR(DATEDIF(F17,G17,"M"),"")</f>
        <v>0</v>
      </c>
      <c r="L17" s="70"/>
      <c r="M17" s="88" t="str">
        <f aca="false">IFERROR(IF(L17="","",L17/12),"")</f>
        <v/>
      </c>
      <c r="N17" s="69"/>
      <c r="O17" s="91"/>
      <c r="P17" s="90" t="str">
        <f aca="false">IFERROR(IF(G17="","",G17-365),"")</f>
        <v/>
      </c>
      <c r="Q17" s="69"/>
    </row>
    <row r="18" customFormat="false" ht="15" hidden="false" customHeight="false" outlineLevel="0" collapsed="false">
      <c r="A18" s="72"/>
      <c r="B18" s="72"/>
      <c r="C18" s="72"/>
      <c r="D18" s="72"/>
      <c r="E18" s="74"/>
      <c r="F18" s="74"/>
      <c r="G18" s="74"/>
      <c r="H18" s="72"/>
      <c r="I18" s="72"/>
      <c r="J18" s="72"/>
      <c r="K18" s="82" t="n">
        <f aca="false">IFERROR(DATEDIF(F18,G18,"M"),"")</f>
        <v>0</v>
      </c>
      <c r="L18" s="73"/>
      <c r="M18" s="88" t="str">
        <f aca="false">IFERROR(IF(L18="","",L18/12),"")</f>
        <v/>
      </c>
      <c r="N18" s="72"/>
      <c r="O18" s="92"/>
      <c r="P18" s="90" t="str">
        <f aca="false">IFERROR(IF(G18="","",G18-365),"")</f>
        <v/>
      </c>
      <c r="Q18" s="72"/>
    </row>
    <row r="19" customFormat="false" ht="15" hidden="false" customHeight="false" outlineLevel="0" collapsed="false">
      <c r="A19" s="69"/>
      <c r="B19" s="69"/>
      <c r="C19" s="69"/>
      <c r="D19" s="69"/>
      <c r="E19" s="71"/>
      <c r="F19" s="71"/>
      <c r="G19" s="71"/>
      <c r="H19" s="69"/>
      <c r="I19" s="69"/>
      <c r="J19" s="69"/>
      <c r="K19" s="82" t="n">
        <f aca="false">IFERROR(DATEDIF(F19,G19,"M"),"")</f>
        <v>0</v>
      </c>
      <c r="L19" s="70"/>
      <c r="M19" s="88" t="str">
        <f aca="false">IFERROR(IF(L19="","",L19/12),"")</f>
        <v/>
      </c>
      <c r="N19" s="69"/>
      <c r="O19" s="91"/>
      <c r="P19" s="90" t="str">
        <f aca="false">IFERROR(IF(G19="","",G19-365),"")</f>
        <v/>
      </c>
      <c r="Q19" s="69"/>
    </row>
    <row r="20" customFormat="false" ht="15" hidden="false" customHeight="false" outlineLevel="0" collapsed="false">
      <c r="A20" s="72"/>
      <c r="B20" s="72"/>
      <c r="C20" s="72"/>
      <c r="D20" s="72"/>
      <c r="E20" s="74"/>
      <c r="F20" s="74"/>
      <c r="G20" s="74"/>
      <c r="H20" s="72"/>
      <c r="I20" s="72"/>
      <c r="J20" s="72"/>
      <c r="K20" s="82" t="n">
        <f aca="false">IFERROR(DATEDIF(F20,G20,"M"),"")</f>
        <v>0</v>
      </c>
      <c r="L20" s="73"/>
      <c r="M20" s="88" t="str">
        <f aca="false">IFERROR(IF(L20="","",L20/12),"")</f>
        <v/>
      </c>
      <c r="N20" s="72"/>
      <c r="O20" s="92"/>
      <c r="P20" s="90" t="str">
        <f aca="false">IFERROR(IF(G20="","",G20-365),"")</f>
        <v/>
      </c>
      <c r="Q20" s="72"/>
    </row>
    <row r="21" customFormat="false" ht="15" hidden="false" customHeight="false" outlineLevel="0" collapsed="false">
      <c r="A21" s="69"/>
      <c r="B21" s="69"/>
      <c r="C21" s="69"/>
      <c r="D21" s="69"/>
      <c r="E21" s="71"/>
      <c r="F21" s="71"/>
      <c r="G21" s="71"/>
      <c r="H21" s="69"/>
      <c r="I21" s="69"/>
      <c r="J21" s="69"/>
      <c r="K21" s="82" t="n">
        <f aca="false">IFERROR(DATEDIF(F21,G21,"M"),"")</f>
        <v>0</v>
      </c>
      <c r="L21" s="70"/>
      <c r="M21" s="88" t="str">
        <f aca="false">IFERROR(IF(L21="","",L21/12),"")</f>
        <v/>
      </c>
      <c r="N21" s="69"/>
      <c r="O21" s="91"/>
      <c r="P21" s="90" t="str">
        <f aca="false">IFERROR(IF(G21="","",G21-365),"")</f>
        <v/>
      </c>
      <c r="Q21" s="69"/>
    </row>
    <row r="22" customFormat="false" ht="15" hidden="false" customHeight="false" outlineLevel="0" collapsed="false">
      <c r="A22" s="72"/>
      <c r="B22" s="72"/>
      <c r="C22" s="72"/>
      <c r="D22" s="72"/>
      <c r="E22" s="74"/>
      <c r="F22" s="74"/>
      <c r="G22" s="74"/>
      <c r="H22" s="72"/>
      <c r="I22" s="72"/>
      <c r="J22" s="72"/>
      <c r="K22" s="82" t="n">
        <f aca="false">IFERROR(DATEDIF(F22,G22,"M"),"")</f>
        <v>0</v>
      </c>
      <c r="L22" s="73"/>
      <c r="M22" s="88" t="str">
        <f aca="false">IFERROR(IF(L22="","",L22/12),"")</f>
        <v/>
      </c>
      <c r="N22" s="72"/>
      <c r="O22" s="92"/>
      <c r="P22" s="90" t="str">
        <f aca="false">IFERROR(IF(G22="","",G22-365),"")</f>
        <v/>
      </c>
      <c r="Q22" s="72"/>
    </row>
    <row r="23" customFormat="false" ht="15" hidden="false" customHeight="false" outlineLevel="0" collapsed="false">
      <c r="A23" s="69"/>
      <c r="B23" s="69"/>
      <c r="C23" s="69"/>
      <c r="D23" s="69"/>
      <c r="E23" s="71"/>
      <c r="F23" s="71"/>
      <c r="G23" s="71"/>
      <c r="H23" s="69"/>
      <c r="I23" s="69"/>
      <c r="J23" s="69"/>
      <c r="K23" s="82" t="n">
        <f aca="false">IFERROR(DATEDIF(F23,G23,"M"),"")</f>
        <v>0</v>
      </c>
      <c r="L23" s="70"/>
      <c r="M23" s="88" t="str">
        <f aca="false">IFERROR(IF(L23="","",L23/12),"")</f>
        <v/>
      </c>
      <c r="N23" s="69"/>
      <c r="O23" s="91"/>
      <c r="P23" s="90" t="str">
        <f aca="false">IFERROR(IF(G23="","",G23-365),"")</f>
        <v/>
      </c>
      <c r="Q23" s="69"/>
    </row>
    <row r="24" customFormat="false" ht="15" hidden="false" customHeight="false" outlineLevel="0" collapsed="false">
      <c r="A24" s="72"/>
      <c r="B24" s="72"/>
      <c r="C24" s="72"/>
      <c r="D24" s="72"/>
      <c r="E24" s="74"/>
      <c r="F24" s="74"/>
      <c r="G24" s="74"/>
      <c r="H24" s="72"/>
      <c r="I24" s="72"/>
      <c r="J24" s="72"/>
      <c r="K24" s="82" t="n">
        <f aca="false">IFERROR(DATEDIF(F24,G24,"M"),"")</f>
        <v>0</v>
      </c>
      <c r="L24" s="73"/>
      <c r="M24" s="88" t="str">
        <f aca="false">IFERROR(IF(L24="","",L24/12),"")</f>
        <v/>
      </c>
      <c r="N24" s="72"/>
      <c r="O24" s="92"/>
      <c r="P24" s="90" t="str">
        <f aca="false">IFERROR(IF(G24="","",G24-365),"")</f>
        <v/>
      </c>
      <c r="Q24" s="72"/>
    </row>
    <row r="25" customFormat="false" ht="15" hidden="false" customHeight="false" outlineLevel="0" collapsed="false">
      <c r="A25" s="69"/>
      <c r="B25" s="69"/>
      <c r="C25" s="69"/>
      <c r="D25" s="69"/>
      <c r="E25" s="71"/>
      <c r="F25" s="71"/>
      <c r="G25" s="71"/>
      <c r="H25" s="69"/>
      <c r="I25" s="69"/>
      <c r="J25" s="69"/>
      <c r="K25" s="82" t="n">
        <f aca="false">IFERROR(DATEDIF(F25,G25,"M"),"")</f>
        <v>0</v>
      </c>
      <c r="L25" s="70"/>
      <c r="M25" s="88" t="str">
        <f aca="false">IFERROR(IF(L25="","",L25/12),"")</f>
        <v/>
      </c>
      <c r="N25" s="69"/>
      <c r="O25" s="91"/>
      <c r="P25" s="90" t="str">
        <f aca="false">IFERROR(IF(G25="","",G25-365),"")</f>
        <v/>
      </c>
      <c r="Q25" s="69"/>
    </row>
    <row r="26" customFormat="false" ht="15" hidden="false" customHeight="false" outlineLevel="0" collapsed="false">
      <c r="A26" s="72"/>
      <c r="B26" s="72"/>
      <c r="C26" s="72"/>
      <c r="D26" s="72"/>
      <c r="E26" s="74"/>
      <c r="F26" s="74"/>
      <c r="G26" s="74"/>
      <c r="H26" s="72"/>
      <c r="I26" s="72"/>
      <c r="J26" s="72"/>
      <c r="K26" s="82" t="n">
        <f aca="false">IFERROR(DATEDIF(F26,G26,"M"),"")</f>
        <v>0</v>
      </c>
      <c r="L26" s="73"/>
      <c r="M26" s="88" t="str">
        <f aca="false">IFERROR(IF(L26="","",L26/12),"")</f>
        <v/>
      </c>
      <c r="N26" s="72"/>
      <c r="O26" s="92"/>
      <c r="P26" s="90" t="str">
        <f aca="false">IFERROR(IF(G26="","",G26-365),"")</f>
        <v/>
      </c>
      <c r="Q26" s="72"/>
    </row>
    <row r="27" customFormat="false" ht="15" hidden="false" customHeight="false" outlineLevel="0" collapsed="false">
      <c r="A27" s="69"/>
      <c r="B27" s="69"/>
      <c r="C27" s="69"/>
      <c r="D27" s="69"/>
      <c r="E27" s="71"/>
      <c r="F27" s="71"/>
      <c r="G27" s="71"/>
      <c r="H27" s="69"/>
      <c r="I27" s="69"/>
      <c r="J27" s="69"/>
      <c r="K27" s="82" t="n">
        <f aca="false">IFERROR(DATEDIF(F27,G27,"M"),"")</f>
        <v>0</v>
      </c>
      <c r="L27" s="70"/>
      <c r="M27" s="88" t="str">
        <f aca="false">IFERROR(IF(L27="","",L27/12),"")</f>
        <v/>
      </c>
      <c r="N27" s="69"/>
      <c r="O27" s="91"/>
      <c r="P27" s="90" t="str">
        <f aca="false">IFERROR(IF(G27="","",G27-365),"")</f>
        <v/>
      </c>
      <c r="Q27" s="69"/>
    </row>
    <row r="28" customFormat="false" ht="15" hidden="false" customHeight="false" outlineLevel="0" collapsed="false">
      <c r="A28" s="72"/>
      <c r="B28" s="72"/>
      <c r="C28" s="72"/>
      <c r="D28" s="72"/>
      <c r="E28" s="74"/>
      <c r="F28" s="74"/>
      <c r="G28" s="74"/>
      <c r="H28" s="72"/>
      <c r="I28" s="72"/>
      <c r="J28" s="72"/>
      <c r="K28" s="82" t="n">
        <f aca="false">IFERROR(DATEDIF(F28,G28,"M"),"")</f>
        <v>0</v>
      </c>
      <c r="L28" s="73"/>
      <c r="M28" s="88" t="str">
        <f aca="false">IFERROR(IF(L28="","",L28/12),"")</f>
        <v/>
      </c>
      <c r="N28" s="72"/>
      <c r="O28" s="92"/>
      <c r="P28" s="90" t="str">
        <f aca="false">IFERROR(IF(G28="","",G28-365),"")</f>
        <v/>
      </c>
      <c r="Q28" s="72"/>
    </row>
    <row r="29" customFormat="false" ht="15" hidden="false" customHeight="false" outlineLevel="0" collapsed="false">
      <c r="A29" s="69"/>
      <c r="B29" s="69"/>
      <c r="C29" s="69"/>
      <c r="D29" s="69"/>
      <c r="E29" s="71"/>
      <c r="F29" s="71"/>
      <c r="G29" s="71"/>
      <c r="H29" s="69"/>
      <c r="I29" s="69"/>
      <c r="J29" s="69"/>
      <c r="K29" s="82" t="n">
        <f aca="false">IFERROR(DATEDIF(F29,G29,"M"),"")</f>
        <v>0</v>
      </c>
      <c r="L29" s="70"/>
      <c r="M29" s="88" t="str">
        <f aca="false">IFERROR(IF(L29="","",L29/12),"")</f>
        <v/>
      </c>
      <c r="N29" s="69"/>
      <c r="O29" s="91"/>
      <c r="P29" s="90" t="str">
        <f aca="false">IFERROR(IF(G29="","",G29-365),"")</f>
        <v/>
      </c>
      <c r="Q29" s="69"/>
    </row>
    <row r="30" customFormat="false" ht="15" hidden="false" customHeight="false" outlineLevel="0" collapsed="false">
      <c r="A30" s="72"/>
      <c r="B30" s="72"/>
      <c r="C30" s="72"/>
      <c r="D30" s="72"/>
      <c r="E30" s="74"/>
      <c r="F30" s="74"/>
      <c r="G30" s="74"/>
      <c r="H30" s="72"/>
      <c r="I30" s="72"/>
      <c r="J30" s="72"/>
      <c r="K30" s="82" t="n">
        <f aca="false">IFERROR(DATEDIF(F30,G30,"M"),"")</f>
        <v>0</v>
      </c>
      <c r="L30" s="73"/>
      <c r="M30" s="88" t="str">
        <f aca="false">IFERROR(IF(L30="","",L30/12),"")</f>
        <v/>
      </c>
      <c r="N30" s="72"/>
      <c r="O30" s="92"/>
      <c r="P30" s="90" t="str">
        <f aca="false">IFERROR(IF(G30="","",G30-365),"")</f>
        <v/>
      </c>
      <c r="Q30" s="72"/>
    </row>
    <row r="31" customFormat="false" ht="15" hidden="false" customHeight="false" outlineLevel="0" collapsed="false">
      <c r="A31" s="69"/>
      <c r="B31" s="69"/>
      <c r="C31" s="69"/>
      <c r="D31" s="69"/>
      <c r="E31" s="71"/>
      <c r="F31" s="71"/>
      <c r="G31" s="71"/>
      <c r="H31" s="69"/>
      <c r="I31" s="69"/>
      <c r="J31" s="69"/>
      <c r="K31" s="82" t="n">
        <f aca="false">IFERROR(DATEDIF(F31,G31,"M"),"")</f>
        <v>0</v>
      </c>
      <c r="L31" s="70"/>
      <c r="M31" s="88" t="str">
        <f aca="false">IFERROR(IF(L31="","",L31/12),"")</f>
        <v/>
      </c>
      <c r="N31" s="69"/>
      <c r="O31" s="91"/>
      <c r="P31" s="90" t="str">
        <f aca="false">IFERROR(IF(G31="","",G31-365),"")</f>
        <v/>
      </c>
      <c r="Q31" s="69"/>
    </row>
    <row r="32" customFormat="false" ht="15" hidden="false" customHeight="false" outlineLevel="0" collapsed="false">
      <c r="A32" s="72"/>
      <c r="B32" s="72"/>
      <c r="C32" s="72"/>
      <c r="D32" s="72"/>
      <c r="E32" s="74"/>
      <c r="F32" s="74"/>
      <c r="G32" s="74"/>
      <c r="H32" s="72"/>
      <c r="I32" s="72"/>
      <c r="J32" s="72"/>
      <c r="K32" s="82" t="n">
        <f aca="false">IFERROR(DATEDIF(F32,G32,"M"),"")</f>
        <v>0</v>
      </c>
      <c r="L32" s="73"/>
      <c r="M32" s="88" t="str">
        <f aca="false">IFERROR(IF(L32="","",L32/12),"")</f>
        <v/>
      </c>
      <c r="N32" s="72"/>
      <c r="O32" s="92"/>
      <c r="P32" s="90" t="str">
        <f aca="false">IFERROR(IF(G32="","",G32-365),"")</f>
        <v/>
      </c>
      <c r="Q32" s="72"/>
    </row>
    <row r="33" customFormat="false" ht="15" hidden="false" customHeight="false" outlineLevel="0" collapsed="false">
      <c r="A33" s="69"/>
      <c r="B33" s="69"/>
      <c r="C33" s="69"/>
      <c r="D33" s="69"/>
      <c r="E33" s="71"/>
      <c r="F33" s="71"/>
      <c r="G33" s="71"/>
      <c r="H33" s="69"/>
      <c r="I33" s="69"/>
      <c r="J33" s="69"/>
      <c r="K33" s="82" t="n">
        <f aca="false">IFERROR(DATEDIF(F33,G33,"M"),"")</f>
        <v>0</v>
      </c>
      <c r="L33" s="70"/>
      <c r="M33" s="88" t="str">
        <f aca="false">IFERROR(IF(L33="","",L33/12),"")</f>
        <v/>
      </c>
      <c r="N33" s="69"/>
      <c r="O33" s="91"/>
      <c r="P33" s="90" t="str">
        <f aca="false">IFERROR(IF(G33="","",G33-365),"")</f>
        <v/>
      </c>
      <c r="Q33" s="69"/>
    </row>
    <row r="34" customFormat="false" ht="15" hidden="false" customHeight="false" outlineLevel="0" collapsed="false">
      <c r="A34" s="72"/>
      <c r="B34" s="72"/>
      <c r="C34" s="72"/>
      <c r="D34" s="72"/>
      <c r="E34" s="74"/>
      <c r="F34" s="74"/>
      <c r="G34" s="74"/>
      <c r="H34" s="72"/>
      <c r="I34" s="72"/>
      <c r="J34" s="72"/>
      <c r="K34" s="82" t="n">
        <f aca="false">IFERROR(DATEDIF(F34,G34,"M"),"")</f>
        <v>0</v>
      </c>
      <c r="L34" s="73"/>
      <c r="M34" s="88" t="str">
        <f aca="false">IFERROR(IF(L34="","",L34/12),"")</f>
        <v/>
      </c>
      <c r="N34" s="72"/>
      <c r="O34" s="92"/>
      <c r="P34" s="90" t="str">
        <f aca="false">IFERROR(IF(G34="","",G34-365),"")</f>
        <v/>
      </c>
      <c r="Q34" s="72"/>
    </row>
    <row r="35" customFormat="false" ht="15" hidden="false" customHeight="false" outlineLevel="0" collapsed="false">
      <c r="A35" s="69"/>
      <c r="B35" s="69"/>
      <c r="C35" s="69"/>
      <c r="D35" s="69"/>
      <c r="E35" s="71"/>
      <c r="F35" s="71"/>
      <c r="G35" s="71"/>
      <c r="H35" s="69"/>
      <c r="I35" s="69"/>
      <c r="J35" s="69"/>
      <c r="K35" s="82" t="n">
        <f aca="false">IFERROR(DATEDIF(F35,G35,"M"),"")</f>
        <v>0</v>
      </c>
      <c r="L35" s="70"/>
      <c r="M35" s="88" t="str">
        <f aca="false">IFERROR(IF(L35="","",L35/12),"")</f>
        <v/>
      </c>
      <c r="N35" s="69"/>
      <c r="O35" s="91"/>
      <c r="P35" s="90" t="str">
        <f aca="false">IFERROR(IF(G35="","",G35-365),"")</f>
        <v/>
      </c>
      <c r="Q35" s="69"/>
    </row>
    <row r="36" customFormat="false" ht="15" hidden="false" customHeight="false" outlineLevel="0" collapsed="false">
      <c r="A36" s="72"/>
      <c r="B36" s="72"/>
      <c r="C36" s="72"/>
      <c r="D36" s="72"/>
      <c r="E36" s="74"/>
      <c r="F36" s="74"/>
      <c r="G36" s="74"/>
      <c r="H36" s="72"/>
      <c r="I36" s="72"/>
      <c r="J36" s="72"/>
      <c r="K36" s="82" t="n">
        <f aca="false">IFERROR(DATEDIF(F36,G36,"M"),"")</f>
        <v>0</v>
      </c>
      <c r="L36" s="73"/>
      <c r="M36" s="88" t="str">
        <f aca="false">IFERROR(IF(L36="","",L36/12),"")</f>
        <v/>
      </c>
      <c r="N36" s="72"/>
      <c r="O36" s="92"/>
      <c r="P36" s="90" t="str">
        <f aca="false">IFERROR(IF(G36="","",G36-365),"")</f>
        <v/>
      </c>
      <c r="Q36" s="72"/>
    </row>
    <row r="37" customFormat="false" ht="15" hidden="false" customHeight="false" outlineLevel="0" collapsed="false">
      <c r="A37" s="69"/>
      <c r="B37" s="69"/>
      <c r="C37" s="69"/>
      <c r="D37" s="69"/>
      <c r="E37" s="71"/>
      <c r="F37" s="71"/>
      <c r="G37" s="71"/>
      <c r="H37" s="69"/>
      <c r="I37" s="69"/>
      <c r="J37" s="69"/>
      <c r="K37" s="82" t="n">
        <f aca="false">IFERROR(DATEDIF(F37,G37,"M"),"")</f>
        <v>0</v>
      </c>
      <c r="L37" s="70"/>
      <c r="M37" s="88" t="str">
        <f aca="false">IFERROR(IF(L37="","",L37/12),"")</f>
        <v/>
      </c>
      <c r="N37" s="69"/>
      <c r="O37" s="91"/>
      <c r="P37" s="90" t="str">
        <f aca="false">IFERROR(IF(G37="","",G37-365),"")</f>
        <v/>
      </c>
      <c r="Q37" s="69"/>
    </row>
    <row r="38" customFormat="false" ht="15" hidden="false" customHeight="false" outlineLevel="0" collapsed="false">
      <c r="A38" s="72"/>
      <c r="B38" s="72"/>
      <c r="C38" s="72"/>
      <c r="D38" s="72"/>
      <c r="E38" s="74"/>
      <c r="F38" s="74"/>
      <c r="G38" s="74"/>
      <c r="H38" s="72"/>
      <c r="I38" s="72"/>
      <c r="J38" s="72"/>
      <c r="K38" s="82" t="n">
        <f aca="false">IFERROR(DATEDIF(F38,G38,"M"),"")</f>
        <v>0</v>
      </c>
      <c r="L38" s="73"/>
      <c r="M38" s="88" t="str">
        <f aca="false">IFERROR(IF(L38="","",L38/12),"")</f>
        <v/>
      </c>
      <c r="N38" s="72"/>
      <c r="O38" s="92"/>
      <c r="P38" s="90" t="str">
        <f aca="false">IFERROR(IF(G38="","",G38-365),"")</f>
        <v/>
      </c>
      <c r="Q38" s="72"/>
    </row>
    <row r="39" customFormat="false" ht="15" hidden="false" customHeight="false" outlineLevel="0" collapsed="false">
      <c r="A39" s="69"/>
      <c r="B39" s="69"/>
      <c r="C39" s="69"/>
      <c r="D39" s="69"/>
      <c r="E39" s="71"/>
      <c r="F39" s="71"/>
      <c r="G39" s="71"/>
      <c r="H39" s="69"/>
      <c r="I39" s="69"/>
      <c r="J39" s="69"/>
      <c r="K39" s="82" t="n">
        <f aca="false">IFERROR(DATEDIF(F39,G39,"M"),"")</f>
        <v>0</v>
      </c>
      <c r="L39" s="70"/>
      <c r="M39" s="88" t="str">
        <f aca="false">IFERROR(IF(L39="","",L39/12),"")</f>
        <v/>
      </c>
      <c r="N39" s="69"/>
      <c r="O39" s="91"/>
      <c r="P39" s="90" t="str">
        <f aca="false">IFERROR(IF(G39="","",G39-365),"")</f>
        <v/>
      </c>
      <c r="Q39" s="69"/>
    </row>
    <row r="40" customFormat="false" ht="15" hidden="false" customHeight="false" outlineLevel="0" collapsed="false">
      <c r="A40" s="72"/>
      <c r="B40" s="72"/>
      <c r="C40" s="72"/>
      <c r="D40" s="72"/>
      <c r="E40" s="74"/>
      <c r="F40" s="74"/>
      <c r="G40" s="74"/>
      <c r="H40" s="72"/>
      <c r="I40" s="72"/>
      <c r="J40" s="72"/>
      <c r="K40" s="82" t="n">
        <f aca="false">IFERROR(DATEDIF(F40,G40,"M"),"")</f>
        <v>0</v>
      </c>
      <c r="L40" s="73"/>
      <c r="M40" s="88" t="str">
        <f aca="false">IFERROR(IF(L40="","",L40/12),"")</f>
        <v/>
      </c>
      <c r="N40" s="72"/>
      <c r="O40" s="92"/>
      <c r="P40" s="90" t="str">
        <f aca="false">IFERROR(IF(G40="","",G40-365),"")</f>
        <v/>
      </c>
      <c r="Q40" s="72"/>
    </row>
    <row r="41" customFormat="false" ht="15" hidden="false" customHeight="false" outlineLevel="0" collapsed="false">
      <c r="A41" s="69"/>
      <c r="B41" s="69"/>
      <c r="C41" s="69"/>
      <c r="D41" s="69"/>
      <c r="E41" s="71"/>
      <c r="F41" s="71"/>
      <c r="G41" s="71"/>
      <c r="H41" s="69"/>
      <c r="I41" s="69"/>
      <c r="J41" s="69"/>
      <c r="K41" s="82" t="n">
        <f aca="false">IFERROR(DATEDIF(F41,G41,"M"),"")</f>
        <v>0</v>
      </c>
      <c r="L41" s="70"/>
      <c r="M41" s="88" t="str">
        <f aca="false">IFERROR(IF(L41="","",L41/12),"")</f>
        <v/>
      </c>
      <c r="N41" s="69"/>
      <c r="O41" s="91"/>
      <c r="P41" s="90" t="str">
        <f aca="false">IFERROR(IF(G41="","",G41-365),"")</f>
        <v/>
      </c>
      <c r="Q41" s="69"/>
    </row>
    <row r="42" customFormat="false" ht="15" hidden="false" customHeight="false" outlineLevel="0" collapsed="false">
      <c r="A42" s="72"/>
      <c r="B42" s="72"/>
      <c r="C42" s="72"/>
      <c r="D42" s="72"/>
      <c r="E42" s="74"/>
      <c r="F42" s="74"/>
      <c r="G42" s="74"/>
      <c r="H42" s="72"/>
      <c r="I42" s="72"/>
      <c r="J42" s="72"/>
      <c r="K42" s="82" t="n">
        <f aca="false">IFERROR(DATEDIF(F42,G42,"M"),"")</f>
        <v>0</v>
      </c>
      <c r="L42" s="73"/>
      <c r="M42" s="88" t="str">
        <f aca="false">IFERROR(IF(L42="","",L42/12),"")</f>
        <v/>
      </c>
      <c r="N42" s="72"/>
      <c r="O42" s="92"/>
      <c r="P42" s="90" t="str">
        <f aca="false">IFERROR(IF(G42="","",G42-365),"")</f>
        <v/>
      </c>
      <c r="Q42" s="72"/>
    </row>
    <row r="43" customFormat="false" ht="15" hidden="false" customHeight="false" outlineLevel="0" collapsed="false">
      <c r="A43" s="69"/>
      <c r="B43" s="69"/>
      <c r="C43" s="69"/>
      <c r="D43" s="69"/>
      <c r="E43" s="71"/>
      <c r="F43" s="71"/>
      <c r="G43" s="71"/>
      <c r="H43" s="69"/>
      <c r="I43" s="69"/>
      <c r="J43" s="69"/>
      <c r="K43" s="82" t="n">
        <f aca="false">IFERROR(DATEDIF(F43,G43,"M"),"")</f>
        <v>0</v>
      </c>
      <c r="L43" s="70"/>
      <c r="M43" s="88" t="str">
        <f aca="false">IFERROR(IF(L43="","",L43/12),"")</f>
        <v/>
      </c>
      <c r="N43" s="69"/>
      <c r="O43" s="91"/>
      <c r="P43" s="90" t="str">
        <f aca="false">IFERROR(IF(G43="","",G43-365),"")</f>
        <v/>
      </c>
      <c r="Q43" s="69"/>
    </row>
    <row r="44" customFormat="false" ht="15" hidden="false" customHeight="false" outlineLevel="0" collapsed="false">
      <c r="A44" s="72"/>
      <c r="B44" s="72"/>
      <c r="C44" s="72"/>
      <c r="D44" s="72"/>
      <c r="E44" s="74"/>
      <c r="F44" s="74"/>
      <c r="G44" s="74"/>
      <c r="H44" s="72"/>
      <c r="I44" s="72"/>
      <c r="J44" s="72"/>
      <c r="K44" s="82" t="n">
        <f aca="false">IFERROR(DATEDIF(F44,G44,"M"),"")</f>
        <v>0</v>
      </c>
      <c r="L44" s="73"/>
      <c r="M44" s="88" t="str">
        <f aca="false">IFERROR(IF(L44="","",L44/12),"")</f>
        <v/>
      </c>
      <c r="N44" s="72"/>
      <c r="O44" s="92"/>
      <c r="P44" s="90" t="str">
        <f aca="false">IFERROR(IF(G44="","",G44-365),"")</f>
        <v/>
      </c>
      <c r="Q44" s="72"/>
    </row>
    <row r="45" customFormat="false" ht="15" hidden="false" customHeight="false" outlineLevel="0" collapsed="false">
      <c r="A45" s="69"/>
      <c r="B45" s="69"/>
      <c r="C45" s="69"/>
      <c r="D45" s="69"/>
      <c r="E45" s="71"/>
      <c r="F45" s="71"/>
      <c r="G45" s="71"/>
      <c r="H45" s="69"/>
      <c r="I45" s="69"/>
      <c r="J45" s="69"/>
      <c r="K45" s="82" t="n">
        <f aca="false">IFERROR(DATEDIF(F45,G45,"M"),"")</f>
        <v>0</v>
      </c>
      <c r="L45" s="70"/>
      <c r="M45" s="88" t="str">
        <f aca="false">IFERROR(IF(L45="","",L45/12),"")</f>
        <v/>
      </c>
      <c r="N45" s="69"/>
      <c r="O45" s="91"/>
      <c r="P45" s="90" t="str">
        <f aca="false">IFERROR(IF(G45="","",G45-365),"")</f>
        <v/>
      </c>
      <c r="Q45" s="69"/>
    </row>
    <row r="46" customFormat="false" ht="15" hidden="false" customHeight="false" outlineLevel="0" collapsed="false">
      <c r="A46" s="72"/>
      <c r="B46" s="72"/>
      <c r="C46" s="72"/>
      <c r="D46" s="72"/>
      <c r="E46" s="74"/>
      <c r="F46" s="74"/>
      <c r="G46" s="74"/>
      <c r="H46" s="72"/>
      <c r="I46" s="72"/>
      <c r="J46" s="72"/>
      <c r="K46" s="82" t="n">
        <f aca="false">IFERROR(DATEDIF(F46,G46,"M"),"")</f>
        <v>0</v>
      </c>
      <c r="L46" s="73"/>
      <c r="M46" s="88" t="str">
        <f aca="false">IFERROR(IF(L46="","",L46/12),"")</f>
        <v/>
      </c>
      <c r="N46" s="72"/>
      <c r="O46" s="92"/>
      <c r="P46" s="90" t="str">
        <f aca="false">IFERROR(IF(G46="","",G46-365),"")</f>
        <v/>
      </c>
      <c r="Q46" s="72"/>
    </row>
    <row r="47" customFormat="false" ht="15" hidden="false" customHeight="false" outlineLevel="0" collapsed="false">
      <c r="A47" s="69"/>
      <c r="B47" s="69"/>
      <c r="C47" s="69"/>
      <c r="D47" s="69"/>
      <c r="E47" s="71"/>
      <c r="F47" s="71"/>
      <c r="G47" s="71"/>
      <c r="H47" s="69"/>
      <c r="I47" s="69"/>
      <c r="J47" s="69"/>
      <c r="K47" s="82" t="n">
        <f aca="false">IFERROR(DATEDIF(F47,G47,"M"),"")</f>
        <v>0</v>
      </c>
      <c r="L47" s="70"/>
      <c r="M47" s="88" t="str">
        <f aca="false">IFERROR(IF(L47="","",L47/12),"")</f>
        <v/>
      </c>
      <c r="N47" s="69"/>
      <c r="O47" s="91"/>
      <c r="P47" s="90" t="str">
        <f aca="false">IFERROR(IF(G47="","",G47-365),"")</f>
        <v/>
      </c>
      <c r="Q47" s="69"/>
    </row>
    <row r="48" customFormat="false" ht="15" hidden="false" customHeight="false" outlineLevel="0" collapsed="false">
      <c r="A48" s="72"/>
      <c r="B48" s="72"/>
      <c r="C48" s="72"/>
      <c r="D48" s="72"/>
      <c r="E48" s="74"/>
      <c r="F48" s="74"/>
      <c r="G48" s="74"/>
      <c r="H48" s="72"/>
      <c r="I48" s="72"/>
      <c r="J48" s="72"/>
      <c r="K48" s="82" t="n">
        <f aca="false">IFERROR(DATEDIF(F48,G48,"M"),"")</f>
        <v>0</v>
      </c>
      <c r="L48" s="73"/>
      <c r="M48" s="88" t="str">
        <f aca="false">IFERROR(IF(L48="","",L48/12),"")</f>
        <v/>
      </c>
      <c r="N48" s="72"/>
      <c r="O48" s="92"/>
      <c r="P48" s="90" t="str">
        <f aca="false">IFERROR(IF(G48="","",G48-365),"")</f>
        <v/>
      </c>
      <c r="Q48" s="72"/>
    </row>
    <row r="49" customFormat="false" ht="15" hidden="false" customHeight="false" outlineLevel="0" collapsed="false">
      <c r="A49" s="69"/>
      <c r="B49" s="69"/>
      <c r="C49" s="69"/>
      <c r="D49" s="69"/>
      <c r="E49" s="71"/>
      <c r="F49" s="71"/>
      <c r="G49" s="71"/>
      <c r="H49" s="69"/>
      <c r="I49" s="69"/>
      <c r="J49" s="69"/>
      <c r="K49" s="82" t="n">
        <f aca="false">IFERROR(DATEDIF(F49,G49,"M"),"")</f>
        <v>0</v>
      </c>
      <c r="L49" s="70"/>
      <c r="M49" s="88" t="str">
        <f aca="false">IFERROR(IF(L49="","",L49/12),"")</f>
        <v/>
      </c>
      <c r="N49" s="69"/>
      <c r="O49" s="91"/>
      <c r="P49" s="90" t="str">
        <f aca="false">IFERROR(IF(G49="","",G49-365),"")</f>
        <v/>
      </c>
      <c r="Q49" s="69"/>
    </row>
    <row r="50" customFormat="false" ht="15" hidden="false" customHeight="false" outlineLevel="0" collapsed="false">
      <c r="A50" s="72"/>
      <c r="B50" s="72"/>
      <c r="C50" s="72"/>
      <c r="D50" s="72"/>
      <c r="E50" s="74"/>
      <c r="F50" s="74"/>
      <c r="G50" s="74"/>
      <c r="H50" s="72"/>
      <c r="I50" s="72"/>
      <c r="J50" s="72"/>
      <c r="K50" s="82" t="n">
        <f aca="false">IFERROR(DATEDIF(F50,G50,"M"),"")</f>
        <v>0</v>
      </c>
      <c r="L50" s="73"/>
      <c r="M50" s="88" t="str">
        <f aca="false">IFERROR(IF(L50="","",L50/12),"")</f>
        <v/>
      </c>
      <c r="N50" s="72"/>
      <c r="O50" s="92"/>
      <c r="P50" s="90" t="str">
        <f aca="false">IFERROR(IF(G50="","",G50-365),"")</f>
        <v/>
      </c>
      <c r="Q50" s="72"/>
    </row>
    <row r="51" customFormat="false" ht="15" hidden="false" customHeight="false" outlineLevel="0" collapsed="false">
      <c r="A51" s="69"/>
      <c r="B51" s="69"/>
      <c r="C51" s="69"/>
      <c r="D51" s="69"/>
      <c r="E51" s="71"/>
      <c r="F51" s="71"/>
      <c r="G51" s="71"/>
      <c r="H51" s="69"/>
      <c r="I51" s="69"/>
      <c r="J51" s="69"/>
      <c r="K51" s="82" t="n">
        <f aca="false">IFERROR(DATEDIF(F51,G51,"M"),"")</f>
        <v>0</v>
      </c>
      <c r="L51" s="70"/>
      <c r="M51" s="88" t="str">
        <f aca="false">IFERROR(IF(L51="","",L51/12),"")</f>
        <v/>
      </c>
      <c r="N51" s="69"/>
      <c r="O51" s="91"/>
      <c r="P51" s="90" t="str">
        <f aca="false">IFERROR(IF(G51="","",G51-365),"")</f>
        <v/>
      </c>
      <c r="Q51" s="69"/>
    </row>
    <row r="52" customFormat="false" ht="15" hidden="false" customHeight="false" outlineLevel="0" collapsed="false">
      <c r="A52" s="72"/>
      <c r="B52" s="72"/>
      <c r="C52" s="72"/>
      <c r="D52" s="72"/>
      <c r="E52" s="74"/>
      <c r="F52" s="74"/>
      <c r="G52" s="74"/>
      <c r="H52" s="72"/>
      <c r="I52" s="72"/>
      <c r="J52" s="72"/>
      <c r="K52" s="82" t="n">
        <f aca="false">IFERROR(DATEDIF(F52,G52,"M"),"")</f>
        <v>0</v>
      </c>
      <c r="L52" s="73"/>
      <c r="M52" s="88" t="str">
        <f aca="false">IFERROR(IF(L52="","",L52/12),"")</f>
        <v/>
      </c>
      <c r="N52" s="72"/>
      <c r="O52" s="92"/>
      <c r="P52" s="90" t="str">
        <f aca="false">IFERROR(IF(G52="","",G52-365),"")</f>
        <v/>
      </c>
      <c r="Q52" s="72"/>
    </row>
    <row r="53" customFormat="false" ht="15" hidden="false" customHeight="false" outlineLevel="0" collapsed="false">
      <c r="A53" s="69"/>
      <c r="B53" s="69"/>
      <c r="C53" s="69"/>
      <c r="D53" s="69"/>
      <c r="E53" s="71"/>
      <c r="F53" s="71"/>
      <c r="G53" s="71"/>
      <c r="H53" s="69"/>
      <c r="I53" s="69"/>
      <c r="J53" s="69"/>
      <c r="K53" s="82" t="n">
        <f aca="false">IFERROR(DATEDIF(F53,G53,"M"),"")</f>
        <v>0</v>
      </c>
      <c r="L53" s="70"/>
      <c r="M53" s="88" t="str">
        <f aca="false">IFERROR(IF(L53="","",L53/12),"")</f>
        <v/>
      </c>
      <c r="N53" s="69"/>
      <c r="O53" s="91"/>
      <c r="P53" s="90" t="str">
        <f aca="false">IFERROR(IF(G53="","",G53-365),"")</f>
        <v/>
      </c>
      <c r="Q53" s="69"/>
    </row>
  </sheetData>
  <mergeCells count="2">
    <mergeCell ref="A1:Q1"/>
    <mergeCell ref="A2:Q2"/>
  </mergeCells>
  <conditionalFormatting sqref="H4:H53">
    <cfRule type="expression" priority="2" aboveAverage="0" equalAverage="0" bottom="0" percent="0" rank="0" text="" dxfId="3">
      <formula>H4="Yes"</formula>
    </cfRule>
  </conditionalFormatting>
  <dataValidations count="2">
    <dataValidation allowBlank="true" errorStyle="stop" operator="between" showDropDown="false" showErrorMessage="false" showInputMessage="false" sqref="H4:H53" type="list">
      <formula1>LOOKUP!$B$28:$B$29</formula1>
      <formula2>0</formula2>
    </dataValidation>
    <dataValidation allowBlank="true" errorStyle="stop" operator="between" showDropDown="false" showErrorMessage="false" showInputMessage="false" sqref="N4:N53" type="list">
      <formula1>LOOKUP!$B$18:$B$22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2026-07-13T08:53:39Z</dcterms:created>
  <dc:creator>openpyxl</dc:creator>
  <dc:description/>
  <dc:language>en-US</dc:language>
  <cp:lastModifiedBy/>
  <dcterms:modified xsi:type="dcterms:W3CDTF">2026-07-13T08:53:39Z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