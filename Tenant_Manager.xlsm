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CF93A036-5C1F-1A4B-BB3A-683AC2D6A360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4" l="1"/>
  <c r="R7" i="4" s="1"/>
  <c r="K7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Q6" i="4"/>
  <c r="R6" i="4" s="1"/>
  <c r="K6" i="4"/>
  <c r="Q5" i="4"/>
  <c r="R5" i="4" s="1"/>
  <c r="K5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G26" i="1"/>
  <c r="E26" i="1"/>
  <c r="C26" i="1"/>
  <c r="A26" i="1"/>
  <c r="I6" i="1"/>
  <c r="K26" i="1"/>
  <c r="E6" i="1"/>
  <c r="C6" i="1"/>
  <c r="I26" i="1"/>
  <c r="M6" i="1"/>
  <c r="K6" i="1"/>
  <c r="G6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</calcChain>
</file>

<file path=xl/sharedStrings.xml><?xml version="1.0" encoding="utf-8"?>
<sst xmlns="http://schemas.openxmlformats.org/spreadsheetml/2006/main" count="251" uniqueCount="168">
  <si>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</si>
  <si>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</si>
  <si>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</si>
  <si>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</si>
  <si>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</si>
  <si>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</si>
  <si>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</si>
  <si>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</si>
  <si>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</si>
  <si>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</si>
  <si>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</si>
  <si>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</si>
  <si>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</si>
  <si>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</si>
  <si>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</si>
  <si>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</si>
  <si>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</si>
  <si>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</si>
  <si>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</si>
  <si>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</si>
  <si>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</si>
  <si>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</si>
  <si>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</si>
  <si>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</si>
  <si>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</si>
  <si>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</si>
  <si>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</si>
  <si>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</si>
  <si>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</si>
  <si>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</si>
  <si>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</si>
  <si>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</si>
  <si>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</si>
  <si>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</si>
  <si>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</si>
  <si>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</si>
  <si>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</si>
  <si>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</si>
  <si>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</si>
  <si>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</si>
  <si>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</si>
  <si>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</si>
  <si>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</si>
  <si>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</si>
  <si>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</si>
  <si>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</si>
  <si>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</si>
  <si>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</si>
  <si>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</si>
  <si>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</si>
  <si>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</si>
  <si>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</si>
  <si>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</si>
  <si>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</si>
  <si>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</si>
  <si>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</si>
  <si>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</si>
  <si>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</si>
  <si>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</si>
  <si>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</si>
  <si>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</si>
  <si>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</si>
  <si>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</si>
  <si>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</si>
  <si>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</si>
  <si>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</si>
  <si>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</si>
  <si>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</si>
  <si>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</si>
  <si>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</si>
  <si>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</si>
  <si>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</si>
  <si>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</si>
  <si>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</si>
  <si>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</si>
  <si>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</si>
  <si>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</si>
  <si>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</si>
  <si>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</si>
  <si>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</si>
  <si>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</si>
  <si>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</si>
  <si>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</si>
  <si>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</si>
  <si>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</si>
  <si>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</si>
  <si>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</si>
  <si>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</si>
  <si>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</si>
  <si>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</si>
  <si>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</si>
  <si>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</si>
  <si>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</si>
  <si>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</si>
  <si>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</si>
  <si>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</si>
  <si>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</si>
  <si>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</si>
  <si>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</si>
  <si>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</si>
  <si>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</si>
  <si>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</si>
  <si>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</si>
  <si>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</si>
  <si>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</si>
  <si>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</si>
  <si>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</si>
  <si>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</si>
  <si>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</si>
  <si>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</si>
  <si>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</si>
  <si>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</si>
  <si>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</si>
  <si>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</si>
  <si>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</si>
  <si>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</si>
  <si>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</si>
  <si>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</si>
  <si>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</si>
  <si>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</si>
  <si>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0598833244</t>
  </si>
  <si>
    <t>simeonb@example.com</t>
  </si>
  <si>
    <t>GH-0022341</t>
  </si>
  <si>
    <t>B-204</t>
  </si>
  <si>
    <t>2nd / Block B</t>
  </si>
  <si>
    <t>Yaw Boison</t>
  </si>
  <si>
    <t>Brother</t>
  </si>
  <si>
    <t>0209988112</t>
  </si>
  <si>
    <t>5 Adum Street, Kumasi</t>
  </si>
  <si>
    <t>T-003</t>
  </si>
  <si>
    <t>Benjamin Darko</t>
  </si>
  <si>
    <t>0545921808</t>
  </si>
  <si>
    <t>dynamicdb2541@gmail.com</t>
  </si>
  <si>
    <t>GH-0033452</t>
  </si>
  <si>
    <t>C-010</t>
  </si>
  <si>
    <t>Ground / Block C</t>
  </si>
  <si>
    <t>Grace Darko</t>
  </si>
  <si>
    <t>Sister</t>
  </si>
  <si>
    <t>0271234567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</si>
  <si>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</si>
  <si>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</si>
  <si>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</si>
  <si>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</si>
  <si>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</si>
  <si>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</si>
  <si>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</si>
  <si>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</si>
  <si>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</si>
  <si>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</si>
  <si>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</si>
  <si>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</si>
  <si>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</si>
  <si>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</si>
  <si>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</si>
  <si>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</si>
  <si>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</si>
  <si>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</si>
  <si>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</si>
  <si>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</si>
  <si>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</si>
  <si>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</si>
  <si>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</si>
  <si>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</si>
  <si>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</si>
  <si>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</si>
  <si>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</si>
  <si>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</si>
  <si>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 xml:space="preserve">Bright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</si>
</sst>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5" fillId="5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59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20" customHeight="1" x14ac:dyDescent="0.2">
      <c r="A2" s="46" t="str">
        <f ca="1">_xlfn.TEXTJOIN("  -  ",TRUE,"Report Date:",TEXT(TODAY(),"DD MMMM YYYY"))</f>
        <v>Report Date:  -  18 July 2026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4" spans="1:14" ht="24" customHeight="1" x14ac:dyDescent="0.2">
      <c r="A4" s="61" t="s">
        <v>1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</row>
    <row r="5" spans="1:14" ht="20" customHeight="1" x14ac:dyDescent="0.2">
      <c r="A5" s="47" t="s">
        <v>2</v>
      </c>
      <c r="B5" s="31"/>
      <c r="C5" s="72" t="s">
        <v>3</v>
      </c>
      <c r="D5" s="31"/>
      <c r="E5" s="73" t="s">
        <v>4</v>
      </c>
      <c r="F5" s="31"/>
      <c r="G5" s="56" t="s">
        <v>5</v>
      </c>
      <c r="H5" s="31"/>
      <c r="I5" s="57" t="s">
        <v>6</v>
      </c>
      <c r="J5" s="31"/>
      <c r="K5" s="75" t="s">
        <v>7</v>
      </c>
      <c r="L5" s="31"/>
      <c r="M5" s="47" t="s">
        <v>8</v>
      </c>
      <c r="N5" s="31"/>
    </row>
    <row r="6" spans="1:14" ht="20" customHeight="1" x14ac:dyDescent="0.2">
      <c r="A6" s="51">
        <f>COUNTA(TENANTS!B4:B53)</f>
        <v>3</v>
      </c>
      <c r="B6" s="31"/>
      <c r="C6" s="71">
        <f ca="1">COUNTIF(TENANTS!R4:R53,"Active")+COUNTIF(TENANTS!R4:R53,"Active - Review")</f>
        <v>1</v>
      </c>
      <c r="D6" s="31"/>
      <c r="E6" s="45">
        <f ca="1">COUNTIF(TENANTS!R4:R53,"Expiring Soon")</f>
        <v>1</v>
      </c>
      <c r="F6" s="31"/>
      <c r="G6" s="55">
        <f ca="1">COUNTIF(TENANTS!R4:R53,"Expired")</f>
        <v>1</v>
      </c>
      <c r="H6" s="31"/>
      <c r="I6" s="69">
        <f ca="1">SUMIF(TENANTS!R4:R53,"Active",TENANTS!L4:L53)+SUMIF(TENANTS!R4:R53,"Active - Review",TENANTS!L4:L53)</f>
        <v>0</v>
      </c>
      <c r="J6" s="31"/>
      <c r="K6" s="70">
        <f ca="1">(SUMIF(TENANTS!R4:R53,"Active",TENANTS!L4:L53)+SUMIF(TENANTS!R4:R53,"Active - Review",TENANTS!L4:L53))*12</f>
        <v>0</v>
      </c>
      <c r="L6" s="31"/>
      <c r="M6" s="54">
        <f ca="1">IFERROR((COUNTIF(TENANTS!R4:R53,"Active")+COUNTIF(TENANTS!R4:R53,"Active - Review"))/COUNTA(TENANTS!B4:B53),0)</f>
        <v>0.33333333333333331</v>
      </c>
      <c r="N6" s="31"/>
    </row>
    <row r="7" spans="1:14" ht="28" customHeight="1" x14ac:dyDescent="0.2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4" ht="20" customHeight="1" x14ac:dyDescent="0.2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4" ht="20" customHeight="1" x14ac:dyDescent="0.2">
      <c r="A9" s="68" t="s">
        <v>9</v>
      </c>
      <c r="B9" s="31"/>
      <c r="C9" s="52" t="s">
        <v>10</v>
      </c>
      <c r="D9" s="31"/>
      <c r="E9" s="53" t="s">
        <v>11</v>
      </c>
      <c r="F9" s="31"/>
      <c r="G9" s="66" t="s">
        <v>12</v>
      </c>
      <c r="H9" s="31"/>
      <c r="I9" s="67" t="s">
        <v>13</v>
      </c>
      <c r="J9" s="31"/>
      <c r="K9" s="74" t="s">
        <v>14</v>
      </c>
      <c r="L9" s="31"/>
      <c r="M9" s="68" t="s">
        <v>15</v>
      </c>
      <c r="N9" s="31"/>
    </row>
    <row r="11" spans="1:14" ht="22" customHeight="1" x14ac:dyDescent="0.2">
      <c r="A11" s="77" t="s">
        <v>16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20" customHeight="1" x14ac:dyDescent="0.2">
      <c r="A12" s="36" t="s">
        <v>17</v>
      </c>
      <c r="B12" s="31"/>
      <c r="C12" s="36" t="s">
        <v>18</v>
      </c>
      <c r="D12" s="31"/>
      <c r="E12" s="31"/>
      <c r="F12" s="36" t="s">
        <v>19</v>
      </c>
      <c r="G12" s="31"/>
      <c r="H12" s="36" t="s">
        <v>20</v>
      </c>
      <c r="I12" s="31"/>
      <c r="J12" s="36" t="s">
        <v>21</v>
      </c>
      <c r="K12" s="31"/>
      <c r="L12" s="36" t="s">
        <v>22</v>
      </c>
      <c r="M12" s="31"/>
      <c r="N12" s="31"/>
    </row>
    <row r="13" spans="1:14" ht="18" customHeight="1" x14ac:dyDescent="0.2">
      <c r="A13" s="44" t="str">
        <f ca="1">IFERROR(INDEX(TENANTS!A$4:A$53,MATCH(SMALL(IF((TENANTS!Q$4:Q$53&gt;=0)*(TENANTS!Q$4:Q$53&lt;=90),TENANTS!Q$4:Q$53),1),TENANTS!Q$4:Q$53,0)),"-")</f>
        <v>-</v>
      </c>
      <c r="B13" s="31"/>
      <c r="C13" s="42" t="str">
        <f ca="1">IFERROR(INDEX(TENANTS!B$4:B$53,MATCH(SMALL(IF((TENANTS!Q$4:Q$53&gt;=0)*(TENANTS!Q$4:Q$53&lt;=90),TENANTS!Q$4:Q$53),1),TENANTS!Q$4:Q$53,0)),"-")</f>
        <v>-</v>
      </c>
      <c r="D13" s="31"/>
      <c r="E13" s="31"/>
      <c r="F13" s="44" t="str">
        <f ca="1">IFERROR(INDEX(TENANTS!F$4:F$53,MATCH(SMALL(IF((TENANTS!Q$4:Q$53&gt;=0)*(TENANTS!Q$4:Q$53&lt;=90),TENANTS!Q$4:Q$53),1),TENANTS!Q$4:Q$53,0)),"-")</f>
        <v>-</v>
      </c>
      <c r="G13" s="31"/>
      <c r="H13" s="60" t="str">
        <f ca="1">IFERROR(INDEX(TENANTS!J$4:J$53,MATCH(SMALL(IF((TENANTS!Q$4:Q$53&gt;=0)*(TENANTS!Q$4:Q$53&lt;=90),TENANTS!Q$4:Q$53),1),TENANTS!Q$4:Q$53,0)),"-")</f>
        <v>-</v>
      </c>
      <c r="I13" s="31"/>
      <c r="J13" s="34">
        <f ca="1">IFERROR(SMALL(IF((TENANTS!Q$4:Q$53&gt;=0)*(TENANTS!Q$4:Q$53&lt;=90),TENANTS!Q$4:Q$53),1),"-")</f>
        <v>0</v>
      </c>
      <c r="K13" s="31"/>
      <c r="L13" s="43" t="str">
        <f ca="1">IFERROR(INDEX(TENANTS!R$4:R$53,MATCH(SMALL(IF((TENANTS!Q$4:Q$53&gt;=0)*(TENANTS!Q$4:Q$53&lt;=90),TENANTS!Q$4:Q$53),1),TENANTS!Q$4:Q$53,0)),"-")</f>
        <v>-</v>
      </c>
      <c r="M13" s="31"/>
      <c r="N13" s="31"/>
    </row>
    <row r="14" spans="1:14" ht="18" customHeight="1" x14ac:dyDescent="0.2">
      <c r="A14" s="37" t="str">
        <f ca="1">IFERROR(INDEX(TENANTS!A$4:A$53,MATCH(SMALL(IF((TENANTS!Q$4:Q$53&gt;=0)*(TENANTS!Q$4:Q$53&lt;=90),TENANTS!Q$4:Q$53),2),TENANTS!Q$4:Q$53,0)),"-")</f>
        <v>-</v>
      </c>
      <c r="B14" s="31"/>
      <c r="C14" s="49" t="str">
        <f ca="1">IFERROR(INDEX(TENANTS!B$4:B$53,MATCH(SMALL(IF((TENANTS!Q$4:Q$53&gt;=0)*(TENANTS!Q$4:Q$53&lt;=90),TENANTS!Q$4:Q$53),2),TENANTS!Q$4:Q$53,0)),"-")</f>
        <v>-</v>
      </c>
      <c r="D14" s="31"/>
      <c r="E14" s="31"/>
      <c r="F14" s="37" t="str">
        <f ca="1">IFERROR(INDEX(TENANTS!F$4:F$53,MATCH(SMALL(IF((TENANTS!Q$4:Q$53&gt;=0)*(TENANTS!Q$4:Q$53&lt;=90),TENANTS!Q$4:Q$53),2),TENANTS!Q$4:Q$53,0)),"-")</f>
        <v>-</v>
      </c>
      <c r="G14" s="31"/>
      <c r="H14" s="32" t="str">
        <f ca="1">IFERROR(INDEX(TENANTS!J$4:J$53,MATCH(SMALL(IF((TENANTS!Q$4:Q$53&gt;=0)*(TENANTS!Q$4:Q$53&lt;=90),TENANTS!Q$4:Q$53),2),TENANTS!Q$4:Q$53,0)),"-")</f>
        <v>-</v>
      </c>
      <c r="I14" s="31"/>
      <c r="J14" s="33" t="str">
        <f ca="1">IFERROR(SMALL(IF((TENANTS!Q$4:Q$53&gt;=0)*(TENANTS!Q$4:Q$53&lt;=90),TENANTS!Q$4:Q$53),2),"-")</f>
        <v>-</v>
      </c>
      <c r="K14" s="31"/>
      <c r="L14" s="35" t="str">
        <f ca="1">IFERROR(INDEX(TENANTS!R$4:R$53,MATCH(SMALL(IF((TENANTS!Q$4:Q$53&gt;=0)*(TENANTS!Q$4:Q$53&lt;=90),TENANTS!Q$4:Q$53),2),TENANTS!Q$4:Q$53,0)),"-")</f>
        <v>-</v>
      </c>
      <c r="M14" s="31"/>
      <c r="N14" s="31"/>
    </row>
    <row r="15" spans="1:14" ht="18" customHeight="1" x14ac:dyDescent="0.2">
      <c r="A15" s="44" t="str">
        <f ca="1">IFERROR(INDEX(TENANTS!A$4:A$53,MATCH(SMALL(IF((TENANTS!Q$4:Q$53&gt;=0)*(TENANTS!Q$4:Q$53&lt;=90),TENANTS!Q$4:Q$53),3),TENANTS!Q$4:Q$53,0)),"-")</f>
        <v>-</v>
      </c>
      <c r="B15" s="31"/>
      <c r="C15" s="42" t="str">
        <f ca="1">IFERROR(INDEX(TENANTS!B$4:B$53,MATCH(SMALL(IF((TENANTS!Q$4:Q$53&gt;=0)*(TENANTS!Q$4:Q$53&lt;=90),TENANTS!Q$4:Q$53),3),TENANTS!Q$4:Q$53,0)),"-")</f>
        <v>-</v>
      </c>
      <c r="D15" s="31"/>
      <c r="E15" s="31"/>
      <c r="F15" s="44" t="str">
        <f ca="1">IFERROR(INDEX(TENANTS!F$4:F$53,MATCH(SMALL(IF((TENANTS!Q$4:Q$53&gt;=0)*(TENANTS!Q$4:Q$53&lt;=90),TENANTS!Q$4:Q$53),3),TENANTS!Q$4:Q$53,0)),"-")</f>
        <v>-</v>
      </c>
      <c r="G15" s="31"/>
      <c r="H15" s="60" t="str">
        <f ca="1">IFERROR(INDEX(TENANTS!J$4:J$53,MATCH(SMALL(IF((TENANTS!Q$4:Q$53&gt;=0)*(TENANTS!Q$4:Q$53&lt;=90),TENANTS!Q$4:Q$53),3),TENANTS!Q$4:Q$53,0)),"-")</f>
        <v>-</v>
      </c>
      <c r="I15" s="31"/>
      <c r="J15" s="34" t="str">
        <f ca="1">IFERROR(SMALL(IF((TENANTS!Q$4:Q$53&gt;=0)*(TENANTS!Q$4:Q$53&lt;=90),TENANTS!Q$4:Q$53),3),"-")</f>
        <v>-</v>
      </c>
      <c r="K15" s="31"/>
      <c r="L15" s="43" t="str">
        <f ca="1">IFERROR(INDEX(TENANTS!R$4:R$53,MATCH(SMALL(IF((TENANTS!Q$4:Q$53&gt;=0)*(TENANTS!Q$4:Q$53&lt;=90),TENANTS!Q$4:Q$53),3),TENANTS!Q$4:Q$53,0)),"-")</f>
        <v>-</v>
      </c>
      <c r="M15" s="31"/>
      <c r="N15" s="31"/>
    </row>
    <row r="16" spans="1:14" ht="18" customHeight="1" x14ac:dyDescent="0.2">
      <c r="A16" s="37" t="str">
        <f ca="1">IFERROR(INDEX(TENANTS!A$4:A$53,MATCH(SMALL(IF((TENANTS!Q$4:Q$53&gt;=0)*(TENANTS!Q$4:Q$53&lt;=90),TENANTS!Q$4:Q$53),4),TENANTS!Q$4:Q$53,0)),"-")</f>
        <v>-</v>
      </c>
      <c r="B16" s="31"/>
      <c r="C16" s="49" t="str">
        <f ca="1">IFERROR(INDEX(TENANTS!B$4:B$53,MATCH(SMALL(IF((TENANTS!Q$4:Q$53&gt;=0)*(TENANTS!Q$4:Q$53&lt;=90),TENANTS!Q$4:Q$53),4),TENANTS!Q$4:Q$53,0)),"-")</f>
        <v>-</v>
      </c>
      <c r="D16" s="31"/>
      <c r="E16" s="31"/>
      <c r="F16" s="37" t="str">
        <f ca="1">IFERROR(INDEX(TENANTS!F$4:F$53,MATCH(SMALL(IF((TENANTS!Q$4:Q$53&gt;=0)*(TENANTS!Q$4:Q$53&lt;=90),TENANTS!Q$4:Q$53),4),TENANTS!Q$4:Q$53,0)),"-")</f>
        <v>-</v>
      </c>
      <c r="G16" s="31"/>
      <c r="H16" s="32" t="str">
        <f ca="1">IFERROR(INDEX(TENANTS!J$4:J$53,MATCH(SMALL(IF((TENANTS!Q$4:Q$53&gt;=0)*(TENANTS!Q$4:Q$53&lt;=90),TENANTS!Q$4:Q$53),4),TENANTS!Q$4:Q$53,0)),"-")</f>
        <v>-</v>
      </c>
      <c r="I16" s="31"/>
      <c r="J16" s="33" t="str">
        <f ca="1">IFERROR(SMALL(IF((TENANTS!Q$4:Q$53&gt;=0)*(TENANTS!Q$4:Q$53&lt;=90),TENANTS!Q$4:Q$53),4),"-")</f>
        <v>-</v>
      </c>
      <c r="K16" s="31"/>
      <c r="L16" s="35" t="str">
        <f ca="1">IFERROR(INDEX(TENANTS!R$4:R$53,MATCH(SMALL(IF((TENANTS!Q$4:Q$53&gt;=0)*(TENANTS!Q$4:Q$53&lt;=90),TENANTS!Q$4:Q$53),4),TENANTS!Q$4:Q$53,0)),"-")</f>
        <v>-</v>
      </c>
      <c r="M16" s="31"/>
      <c r="N16" s="31"/>
    </row>
    <row r="17" spans="1:14" ht="18" customHeight="1" x14ac:dyDescent="0.2">
      <c r="A17" s="44" t="str">
        <f ca="1">IFERROR(INDEX(TENANTS!A$4:A$53,MATCH(SMALL(IF((TENANTS!Q$4:Q$53&gt;=0)*(TENANTS!Q$4:Q$53&lt;=90),TENANTS!Q$4:Q$53),5),TENANTS!Q$4:Q$53,0)),"-")</f>
        <v>-</v>
      </c>
      <c r="B17" s="31"/>
      <c r="C17" s="42" t="str">
        <f ca="1">IFERROR(INDEX(TENANTS!B$4:B$53,MATCH(SMALL(IF((TENANTS!Q$4:Q$53&gt;=0)*(TENANTS!Q$4:Q$53&lt;=90),TENANTS!Q$4:Q$53),5),TENANTS!Q$4:Q$53,0)),"-")</f>
        <v>-</v>
      </c>
      <c r="D17" s="31"/>
      <c r="E17" s="31"/>
      <c r="F17" s="44" t="str">
        <f ca="1">IFERROR(INDEX(TENANTS!F$4:F$53,MATCH(SMALL(IF((TENANTS!Q$4:Q$53&gt;=0)*(TENANTS!Q$4:Q$53&lt;=90),TENANTS!Q$4:Q$53),5),TENANTS!Q$4:Q$53,0)),"-")</f>
        <v>-</v>
      </c>
      <c r="G17" s="31"/>
      <c r="H17" s="60" t="str">
        <f ca="1">IFERROR(INDEX(TENANTS!J$4:J$53,MATCH(SMALL(IF((TENANTS!Q$4:Q$53&gt;=0)*(TENANTS!Q$4:Q$53&lt;=90),TENANTS!Q$4:Q$53),5),TENANTS!Q$4:Q$53,0)),"-")</f>
        <v>-</v>
      </c>
      <c r="I17" s="31"/>
      <c r="J17" s="34" t="str">
        <f ca="1">IFERROR(SMALL(IF((TENANTS!Q$4:Q$53&gt;=0)*(TENANTS!Q$4:Q$53&lt;=90),TENANTS!Q$4:Q$53),5),"-")</f>
        <v>-</v>
      </c>
      <c r="K17" s="31"/>
      <c r="L17" s="43" t="str">
        <f ca="1">IFERROR(INDEX(TENANTS!R$4:R$53,MATCH(SMALL(IF((TENANTS!Q$4:Q$53&gt;=0)*(TENANTS!Q$4:Q$53&lt;=90),TENANTS!Q$4:Q$53),5),TENANTS!Q$4:Q$53,0)),"-")</f>
        <v>-</v>
      </c>
      <c r="M17" s="31"/>
      <c r="N17" s="31"/>
    </row>
    <row r="18" spans="1:14" ht="18" customHeight="1" x14ac:dyDescent="0.2">
      <c r="A18" s="37" t="str">
        <f ca="1">IFERROR(INDEX(TENANTS!A$4:A$53,MATCH(SMALL(IF((TENANTS!Q$4:Q$53&gt;=0)*(TENANTS!Q$4:Q$53&lt;=90),TENANTS!Q$4:Q$53),6),TENANTS!Q$4:Q$53,0)),"-")</f>
        <v>-</v>
      </c>
      <c r="B18" s="31"/>
      <c r="C18" s="49" t="str">
        <f ca="1">IFERROR(INDEX(TENANTS!B$4:B$53,MATCH(SMALL(IF((TENANTS!Q$4:Q$53&gt;=0)*(TENANTS!Q$4:Q$53&lt;=90),TENANTS!Q$4:Q$53),6),TENANTS!Q$4:Q$53,0)),"-")</f>
        <v>-</v>
      </c>
      <c r="D18" s="31"/>
      <c r="E18" s="31"/>
      <c r="F18" s="37" t="str">
        <f ca="1">IFERROR(INDEX(TENANTS!F$4:F$53,MATCH(SMALL(IF((TENANTS!Q$4:Q$53&gt;=0)*(TENANTS!Q$4:Q$53&lt;=90),TENANTS!Q$4:Q$53),6),TENANTS!Q$4:Q$53,0)),"-")</f>
        <v>-</v>
      </c>
      <c r="G18" s="31"/>
      <c r="H18" s="32" t="str">
        <f ca="1">IFERROR(INDEX(TENANTS!J$4:J$53,MATCH(SMALL(IF((TENANTS!Q$4:Q$53&gt;=0)*(TENANTS!Q$4:Q$53&lt;=90),TENANTS!Q$4:Q$53),6),TENANTS!Q$4:Q$53,0)),"-")</f>
        <v>-</v>
      </c>
      <c r="I18" s="31"/>
      <c r="J18" s="33" t="str">
        <f ca="1">IFERROR(SMALL(IF((TENANTS!Q$4:Q$53&gt;=0)*(TENANTS!Q$4:Q$53&lt;=90),TENANTS!Q$4:Q$53),6),"-")</f>
        <v>-</v>
      </c>
      <c r="K18" s="31"/>
      <c r="L18" s="35" t="str">
        <f ca="1">IFERROR(INDEX(TENANTS!R$4:R$53,MATCH(SMALL(IF((TENANTS!Q$4:Q$53&gt;=0)*(TENANTS!Q$4:Q$53&lt;=90),TENANTS!Q$4:Q$53),6),TENANTS!Q$4:Q$53,0)),"-")</f>
        <v>-</v>
      </c>
      <c r="M18" s="31"/>
      <c r="N18" s="31"/>
    </row>
    <row r="19" spans="1:14" ht="18" customHeight="1" x14ac:dyDescent="0.2">
      <c r="A19" s="44" t="str">
        <f ca="1">IFERROR(INDEX(TENANTS!A$4:A$53,MATCH(SMALL(IF((TENANTS!Q$4:Q$53&gt;=0)*(TENANTS!Q$4:Q$53&lt;=90),TENANTS!Q$4:Q$53),7),TENANTS!Q$4:Q$53,0)),"-")</f>
        <v>-</v>
      </c>
      <c r="B19" s="31"/>
      <c r="C19" s="42" t="str">
        <f ca="1">IFERROR(INDEX(TENANTS!B$4:B$53,MATCH(SMALL(IF((TENANTS!Q$4:Q$53&gt;=0)*(TENANTS!Q$4:Q$53&lt;=90),TENANTS!Q$4:Q$53),7),TENANTS!Q$4:Q$53,0)),"-")</f>
        <v>-</v>
      </c>
      <c r="D19" s="31"/>
      <c r="E19" s="31"/>
      <c r="F19" s="44" t="str">
        <f ca="1">IFERROR(INDEX(TENANTS!F$4:F$53,MATCH(SMALL(IF((TENANTS!Q$4:Q$53&gt;=0)*(TENANTS!Q$4:Q$53&lt;=90),TENANTS!Q$4:Q$53),7),TENANTS!Q$4:Q$53,0)),"-")</f>
        <v>-</v>
      </c>
      <c r="G19" s="31"/>
      <c r="H19" s="60" t="str">
        <f ca="1">IFERROR(INDEX(TENANTS!J$4:J$53,MATCH(SMALL(IF((TENANTS!Q$4:Q$53&gt;=0)*(TENANTS!Q$4:Q$53&lt;=90),TENANTS!Q$4:Q$53),7),TENANTS!Q$4:Q$53,0)),"-")</f>
        <v>-</v>
      </c>
      <c r="I19" s="31"/>
      <c r="J19" s="34" t="str">
        <f ca="1">IFERROR(SMALL(IF((TENANTS!Q$4:Q$53&gt;=0)*(TENANTS!Q$4:Q$53&lt;=90),TENANTS!Q$4:Q$53),7),"-")</f>
        <v>-</v>
      </c>
      <c r="K19" s="31"/>
      <c r="L19" s="43" t="str">
        <f ca="1">IFERROR(INDEX(TENANTS!R$4:R$53,MATCH(SMALL(IF((TENANTS!Q$4:Q$53&gt;=0)*(TENANTS!Q$4:Q$53&lt;=90),TENANTS!Q$4:Q$53),7),TENANTS!Q$4:Q$53,0)),"-")</f>
        <v>-</v>
      </c>
      <c r="M19" s="31"/>
      <c r="N19" s="31"/>
    </row>
    <row r="20" spans="1:14" ht="18" customHeight="1" x14ac:dyDescent="0.2">
      <c r="A20" s="37" t="str">
        <f ca="1">IFERROR(INDEX(TENANTS!A$4:A$53,MATCH(SMALL(IF((TENANTS!Q$4:Q$53&gt;=0)*(TENANTS!Q$4:Q$53&lt;=90),TENANTS!Q$4:Q$53),8),TENANTS!Q$4:Q$53,0)),"-")</f>
        <v>-</v>
      </c>
      <c r="B20" s="31"/>
      <c r="C20" s="49" t="str">
        <f ca="1">IFERROR(INDEX(TENANTS!B$4:B$53,MATCH(SMALL(IF((TENANTS!Q$4:Q$53&gt;=0)*(TENANTS!Q$4:Q$53&lt;=90),TENANTS!Q$4:Q$53),8),TENANTS!Q$4:Q$53,0)),"-")</f>
        <v>-</v>
      </c>
      <c r="D20" s="31"/>
      <c r="E20" s="31"/>
      <c r="F20" s="37" t="str">
        <f ca="1">IFERROR(INDEX(TENANTS!F$4:F$53,MATCH(SMALL(IF((TENANTS!Q$4:Q$53&gt;=0)*(TENANTS!Q$4:Q$53&lt;=90),TENANTS!Q$4:Q$53),8),TENANTS!Q$4:Q$53,0)),"-")</f>
        <v>-</v>
      </c>
      <c r="G20" s="31"/>
      <c r="H20" s="32" t="str">
        <f ca="1">IFERROR(INDEX(TENANTS!J$4:J$53,MATCH(SMALL(IF((TENANTS!Q$4:Q$53&gt;=0)*(TENANTS!Q$4:Q$53&lt;=90),TENANTS!Q$4:Q$53),8),TENANTS!Q$4:Q$53,0)),"-")</f>
        <v>-</v>
      </c>
      <c r="I20" s="31"/>
      <c r="J20" s="33" t="str">
        <f ca="1">IFERROR(SMALL(IF((TENANTS!Q$4:Q$53&gt;=0)*(TENANTS!Q$4:Q$53&lt;=90),TENANTS!Q$4:Q$53),8),"-")</f>
        <v>-</v>
      </c>
      <c r="K20" s="31"/>
      <c r="L20" s="35" t="str">
        <f ca="1">IFERROR(INDEX(TENANTS!R$4:R$53,MATCH(SMALL(IF((TENANTS!Q$4:Q$53&gt;=0)*(TENANTS!Q$4:Q$53&lt;=90),TENANTS!Q$4:Q$53),8),TENANTS!Q$4:Q$53,0)),"-")</f>
        <v>-</v>
      </c>
      <c r="M20" s="31"/>
      <c r="N20" s="31"/>
    </row>
    <row r="21" spans="1:14" ht="18" customHeight="1" x14ac:dyDescent="0.2">
      <c r="A21" s="44" t="str">
        <f ca="1">IFERROR(INDEX(TENANTS!A$4:A$53,MATCH(SMALL(IF((TENANTS!Q$4:Q$53&gt;=0)*(TENANTS!Q$4:Q$53&lt;=90),TENANTS!Q$4:Q$53),9),TENANTS!Q$4:Q$53,0)),"-")</f>
        <v>-</v>
      </c>
      <c r="B21" s="31"/>
      <c r="C21" s="42" t="str">
        <f ca="1">IFERROR(INDEX(TENANTS!B$4:B$53,MATCH(SMALL(IF((TENANTS!Q$4:Q$53&gt;=0)*(TENANTS!Q$4:Q$53&lt;=90),TENANTS!Q$4:Q$53),9),TENANTS!Q$4:Q$53,0)),"-")</f>
        <v>-</v>
      </c>
      <c r="D21" s="31"/>
      <c r="E21" s="31"/>
      <c r="F21" s="44" t="str">
        <f ca="1">IFERROR(INDEX(TENANTS!F$4:F$53,MATCH(SMALL(IF((TENANTS!Q$4:Q$53&gt;=0)*(TENANTS!Q$4:Q$53&lt;=90),TENANTS!Q$4:Q$53),9),TENANTS!Q$4:Q$53,0)),"-")</f>
        <v>-</v>
      </c>
      <c r="G21" s="31"/>
      <c r="H21" s="60" t="str">
        <f ca="1">IFERROR(INDEX(TENANTS!J$4:J$53,MATCH(SMALL(IF((TENANTS!Q$4:Q$53&gt;=0)*(TENANTS!Q$4:Q$53&lt;=90),TENANTS!Q$4:Q$53),9),TENANTS!Q$4:Q$53,0)),"-")</f>
        <v>-</v>
      </c>
      <c r="I21" s="31"/>
      <c r="J21" s="34" t="str">
        <f ca="1">IFERROR(SMALL(IF((TENANTS!Q$4:Q$53&gt;=0)*(TENANTS!Q$4:Q$53&lt;=90),TENANTS!Q$4:Q$53),9),"-")</f>
        <v>-</v>
      </c>
      <c r="K21" s="31"/>
      <c r="L21" s="43" t="str">
        <f ca="1">IFERROR(INDEX(TENANTS!R$4:R$53,MATCH(SMALL(IF((TENANTS!Q$4:Q$53&gt;=0)*(TENANTS!Q$4:Q$53&lt;=90),TENANTS!Q$4:Q$53),9),TENANTS!Q$4:Q$53,0)),"-")</f>
        <v>-</v>
      </c>
      <c r="M21" s="31"/>
      <c r="N21" s="31"/>
    </row>
    <row r="22" spans="1:14" ht="18" customHeight="1" x14ac:dyDescent="0.2">
      <c r="A22" s="37" t="str">
        <f ca="1">IFERROR(INDEX(TENANTS!A$4:A$53,MATCH(SMALL(IF((TENANTS!Q$4:Q$53&gt;=0)*(TENANTS!Q$4:Q$53&lt;=90),TENANTS!Q$4:Q$53),10),TENANTS!Q$4:Q$53,0)),"-")</f>
        <v>-</v>
      </c>
      <c r="B22" s="31"/>
      <c r="C22" s="49" t="str">
        <f ca="1">IFERROR(INDEX(TENANTS!B$4:B$53,MATCH(SMALL(IF((TENANTS!Q$4:Q$53&gt;=0)*(TENANTS!Q$4:Q$53&lt;=90),TENANTS!Q$4:Q$53),10),TENANTS!Q$4:Q$53,0)),"-")</f>
        <v>-</v>
      </c>
      <c r="D22" s="31"/>
      <c r="E22" s="31"/>
      <c r="F22" s="37" t="str">
        <f ca="1">IFERROR(INDEX(TENANTS!F$4:F$53,MATCH(SMALL(IF((TENANTS!Q$4:Q$53&gt;=0)*(TENANTS!Q$4:Q$53&lt;=90),TENANTS!Q$4:Q$53),10),TENANTS!Q$4:Q$53,0)),"-")</f>
        <v>-</v>
      </c>
      <c r="G22" s="31"/>
      <c r="H22" s="32" t="str">
        <f ca="1">IFERROR(INDEX(TENANTS!J$4:J$53,MATCH(SMALL(IF((TENANTS!Q$4:Q$53&gt;=0)*(TENANTS!Q$4:Q$53&lt;=90),TENANTS!Q$4:Q$53),10),TENANTS!Q$4:Q$53,0)),"-")</f>
        <v>-</v>
      </c>
      <c r="I22" s="31"/>
      <c r="J22" s="33" t="str">
        <f ca="1">IFERROR(SMALL(IF((TENANTS!Q$4:Q$53&gt;=0)*(TENANTS!Q$4:Q$53&lt;=90),TENANTS!Q$4:Q$53),10),"-")</f>
        <v>-</v>
      </c>
      <c r="K22" s="31"/>
      <c r="L22" s="35" t="str">
        <f ca="1">IFERROR(INDEX(TENANTS!R$4:R$53,MATCH(SMALL(IF((TENANTS!Q$4:Q$53&gt;=0)*(TENANTS!Q$4:Q$53&lt;=90),TENANTS!Q$4:Q$53),10),TENANTS!Q$4:Q$53,0)),"-")</f>
        <v>-</v>
      </c>
      <c r="M22" s="31"/>
      <c r="N22" s="31"/>
    </row>
    <row r="24" spans="1:14" ht="22" customHeight="1" x14ac:dyDescent="0.2">
      <c r="A24" s="80" t="s">
        <v>23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  <row r="25" spans="1:14" ht="22" customHeight="1" x14ac:dyDescent="0.2">
      <c r="A25" s="38" t="s">
        <v>24</v>
      </c>
      <c r="B25" s="31"/>
      <c r="C25" s="39" t="s">
        <v>25</v>
      </c>
      <c r="D25" s="31"/>
      <c r="E25" s="62" t="s">
        <v>26</v>
      </c>
      <c r="F25" s="31"/>
      <c r="G25" s="63" t="s">
        <v>27</v>
      </c>
      <c r="H25" s="31"/>
      <c r="I25" s="78" t="s">
        <v>28</v>
      </c>
      <c r="J25" s="31"/>
      <c r="K25" s="79" t="s">
        <v>29</v>
      </c>
      <c r="L25" s="31"/>
    </row>
    <row r="26" spans="1:14" ht="22" customHeight="1" x14ac:dyDescent="0.2">
      <c r="A26" s="76">
        <f ca="1">COUNTIF(TENANTS!R$4:R$53,"Active")</f>
        <v>1</v>
      </c>
      <c r="B26" s="31"/>
      <c r="C26" s="65">
        <f ca="1">COUNTIF(TENANTS!R$4:R$53,"Active - Review")</f>
        <v>0</v>
      </c>
      <c r="D26" s="31"/>
      <c r="E26" s="40">
        <f ca="1">COUNTIF(TENANTS!R$4:R$53,"Expiring Soon")</f>
        <v>1</v>
      </c>
      <c r="F26" s="31"/>
      <c r="G26" s="41">
        <f ca="1">COUNTIF(TENANTS!R$4:R$53,"Expired")</f>
        <v>1</v>
      </c>
      <c r="H26" s="31"/>
      <c r="I26" s="64">
        <f ca="1">COUNTIF(TENANTS!R$4:R$53,"Terminated")</f>
        <v>0</v>
      </c>
      <c r="J26" s="31"/>
      <c r="K26" s="48">
        <f ca="1">COUNTIF(TENANTS!R$4:R$53,"Vacant")</f>
        <v>46</v>
      </c>
      <c r="L26" s="31"/>
    </row>
    <row r="27" spans="1:14" ht="22" customHeight="1" x14ac:dyDescent="0.2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9" spans="1:14" ht="22" customHeight="1" x14ac:dyDescent="0.2">
      <c r="A29" s="50" t="s">
        <v>30</v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</row>
    <row r="30" spans="1:14" ht="28" customHeight="1" x14ac:dyDescent="0.2">
      <c r="A30" s="1" t="s">
        <v>31</v>
      </c>
      <c r="B30" s="30" t="s">
        <v>32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</row>
    <row r="31" spans="1:14" ht="28" customHeight="1" x14ac:dyDescent="0.2">
      <c r="A31" s="1" t="s">
        <v>33</v>
      </c>
      <c r="B31" s="58" t="s">
        <v>34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</row>
    <row r="32" spans="1:14" ht="28" customHeight="1" x14ac:dyDescent="0.2">
      <c r="A32" s="1" t="s">
        <v>35</v>
      </c>
      <c r="B32" s="30" t="s">
        <v>36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</row>
    <row r="33" spans="1:14" ht="28" customHeight="1" x14ac:dyDescent="0.2">
      <c r="A33" s="1" t="s">
        <v>37</v>
      </c>
      <c r="B33" s="58" t="s">
        <v>38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</row>
    <row r="34" spans="1:14" ht="28" customHeight="1" x14ac:dyDescent="0.2">
      <c r="A34" s="1" t="s">
        <v>39</v>
      </c>
      <c r="B34" s="30" t="s">
        <v>40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</row>
    <row r="35" spans="1:14" ht="28" customHeight="1" x14ac:dyDescent="0.2">
      <c r="A35" s="1" t="s">
        <v>41</v>
      </c>
      <c r="B35" s="58" t="s">
        <v>42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abSelected="1" workbookViewId="0">
      <selection activeCell="I25" sqref="I25:J25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5" t="s">
        <v>77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89" t="s">
        <v>78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12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6" thickBot="1" x14ac:dyDescent="0.25">
      <c r="A5" s="3"/>
      <c r="B5" s="4" t="s">
        <v>17</v>
      </c>
      <c r="C5" s="5" t="s">
        <v>118</v>
      </c>
      <c r="D5" s="3"/>
      <c r="E5" s="6" t="s">
        <v>80</v>
      </c>
      <c r="F5" s="7">
        <v>45884</v>
      </c>
      <c r="G5" s="3"/>
      <c r="H5" s="4" t="s">
        <v>81</v>
      </c>
      <c r="I5" s="8" t="s">
        <v>125</v>
      </c>
      <c r="J5" s="3"/>
      <c r="K5" s="3"/>
      <c r="L5" s="3"/>
    </row>
    <row r="6" spans="1:12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 t="s">
        <v>119</v>
      </c>
      <c r="D7" s="3"/>
      <c r="E7" s="6" t="s">
        <v>83</v>
      </c>
      <c r="F7" s="7">
        <v>46249</v>
      </c>
      <c r="G7" s="3"/>
      <c r="H7" s="4" t="s">
        <v>84</v>
      </c>
      <c r="I7" s="8" t="s">
        <v>126</v>
      </c>
      <c r="J7" s="3"/>
      <c r="K7" s="3"/>
      <c r="L7" s="3"/>
    </row>
    <row r="8" spans="1:12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6" thickBot="1" x14ac:dyDescent="0.25">
      <c r="A9" s="3"/>
      <c r="B9" s="4" t="s">
        <v>85</v>
      </c>
      <c r="C9">
        <v>598833244</v>
      </c>
      <c r="D9" s="3"/>
      <c r="E9" s="4" t="s">
        <v>86</v>
      </c>
      <c r="F9" s="9">
        <v>2800</v>
      </c>
      <c r="G9" s="3"/>
      <c r="H9" s="4" t="s">
        <v>87</v>
      </c>
      <c r="I9" s="8">
        <v>209988112</v>
      </c>
      <c r="J9" s="3"/>
      <c r="K9" s="3"/>
      <c r="L9" s="3"/>
    </row>
    <row r="10" spans="1:12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s="3"/>
      <c r="B11" s="4" t="s">
        <v>88</v>
      </c>
      <c r="C11" s="8" t="s">
        <v>121</v>
      </c>
      <c r="D11" s="3"/>
      <c r="E11" s="4" t="s">
        <v>60</v>
      </c>
      <c r="F11" s="8" t="s">
        <v>61</v>
      </c>
      <c r="G11" s="3"/>
      <c r="H11" s="3"/>
      <c r="I11" s="3"/>
      <c r="J11" s="3"/>
      <c r="K11" s="3"/>
      <c r="L11" s="3"/>
    </row>
    <row r="12" spans="1:12" x14ac:dyDescent="0.2">
      <c r="A12" s="3"/>
      <c r="B12" s="3"/>
      <c r="C12" s="3"/>
      <c r="D12" s="3"/>
      <c r="E12" s="3"/>
      <c r="F12" s="3"/>
      <c r="G12" s="3"/>
      <c r="H12" s="81" t="s">
        <v>89</v>
      </c>
      <c r="I12" s="31"/>
      <c r="J12" s="31"/>
      <c r="K12" s="31"/>
      <c r="L12" s="3"/>
    </row>
    <row r="13" spans="1:12" x14ac:dyDescent="0.2">
      <c r="A13" s="3"/>
      <c r="B13" s="4" t="s">
        <v>90</v>
      </c>
      <c r="C13" s="8" t="s">
        <v>122</v>
      </c>
      <c r="D13" s="3"/>
      <c r="E13" s="4" t="s">
        <v>91</v>
      </c>
      <c r="F13" s="8" t="s">
        <v>56</v>
      </c>
      <c r="G13" s="3"/>
      <c r="H13" s="31"/>
      <c r="I13" s="31"/>
      <c r="J13" s="31"/>
      <c r="K13" s="31"/>
      <c r="L13" s="3"/>
    </row>
    <row r="14" spans="1:12" x14ac:dyDescent="0.2">
      <c r="A14" s="3"/>
      <c r="B14" s="3"/>
      <c r="C14" s="3"/>
      <c r="D14" s="3"/>
      <c r="E14" s="3"/>
      <c r="F14" s="3"/>
      <c r="G14" s="3"/>
      <c r="H14" s="31"/>
      <c r="I14" s="31"/>
      <c r="J14" s="31"/>
      <c r="K14" s="31"/>
      <c r="L14" s="3"/>
    </row>
    <row r="15" spans="1:12" x14ac:dyDescent="0.2">
      <c r="A15" s="3"/>
      <c r="B15" s="4" t="s">
        <v>92</v>
      </c>
      <c r="C15" s="8" t="s">
        <v>123</v>
      </c>
      <c r="D15" s="3"/>
      <c r="E15" s="4" t="s">
        <v>93</v>
      </c>
      <c r="F15" s="9">
        <v>5600</v>
      </c>
      <c r="G15" s="3"/>
      <c r="H15" s="31"/>
      <c r="I15" s="31"/>
      <c r="J15" s="31"/>
      <c r="K15" s="31"/>
      <c r="L15" s="3"/>
    </row>
    <row r="16" spans="1:12" x14ac:dyDescent="0.2">
      <c r="A16" s="3"/>
      <c r="B16" s="3"/>
      <c r="C16" s="3"/>
      <c r="D16" s="3"/>
      <c r="E16" s="3"/>
      <c r="F16" s="3"/>
      <c r="G16" s="3"/>
      <c r="H16" s="31"/>
      <c r="I16" s="31"/>
      <c r="J16" s="31"/>
      <c r="K16" s="31"/>
      <c r="L16" s="3"/>
    </row>
    <row r="17" spans="1:12" x14ac:dyDescent="0.2">
      <c r="A17" s="3"/>
      <c r="B17" s="4" t="s">
        <v>94</v>
      </c>
      <c r="C17" s="8" t="s">
        <v>46</v>
      </c>
      <c r="D17" s="3"/>
      <c r="E17" s="4" t="s">
        <v>95</v>
      </c>
      <c r="F17" s="8" t="s">
        <v>69</v>
      </c>
      <c r="G17" s="3"/>
      <c r="H17" s="31"/>
      <c r="I17" s="31"/>
      <c r="J17" s="31"/>
      <c r="K17" s="31"/>
      <c r="L17" s="3"/>
    </row>
    <row r="18" spans="1:12" x14ac:dyDescent="0.2">
      <c r="A18" s="3"/>
      <c r="B18" s="3"/>
      <c r="C18" s="3"/>
      <c r="D18" s="3"/>
      <c r="E18" s="3"/>
      <c r="F18" s="3"/>
      <c r="G18" s="3"/>
      <c r="H18" s="31"/>
      <c r="I18" s="31"/>
      <c r="J18" s="31"/>
      <c r="K18" s="31"/>
      <c r="L18" s="3"/>
    </row>
    <row r="19" spans="1:12" x14ac:dyDescent="0.2">
      <c r="A19" s="3"/>
      <c r="B19" s="4" t="s">
        <v>96</v>
      </c>
      <c r="C19" s="8" t="s">
        <v>124</v>
      </c>
      <c r="D19" s="3"/>
      <c r="E19" s="4" t="s">
        <v>97</v>
      </c>
      <c r="F19" s="8" t="s">
        <v>128</v>
      </c>
      <c r="G19" s="3"/>
      <c r="H19" s="31"/>
      <c r="I19" s="31"/>
      <c r="J19" s="31"/>
      <c r="K19" s="31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4" t="s">
        <v>98</v>
      </c>
      <c r="I21" s="31"/>
      <c r="J21" s="31"/>
      <c r="K21" s="31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1"/>
      <c r="I22" s="31"/>
      <c r="J22" s="31"/>
      <c r="K22" s="31"/>
      <c r="L22" s="3"/>
    </row>
    <row r="23" spans="1:12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ht="22" customHeight="1" x14ac:dyDescent="0.2">
      <c r="A25" s="3"/>
      <c r="B25" s="4" t="s">
        <v>99</v>
      </c>
      <c r="C25" s="88" t="s">
        <v>118</v>
      </c>
      <c r="D25" s="31"/>
      <c r="E25" s="31"/>
      <c r="F25" s="31"/>
      <c r="G25" s="86" t="s">
        <v>76</v>
      </c>
      <c r="H25" s="31"/>
      <c r="I25" s="84" t="s">
        <v>99</v>
      </c>
      <c r="J25" s="31"/>
      <c r="K25" s="3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7" t="s">
        <v>100</v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">
        <v>118</v>
      </c>
      <c r="B34" s="11" t="s">
        <v>119</v>
      </c>
      <c r="C34" s="11" t="s">
        <v>123</v>
      </c>
      <c r="D34" s="12">
        <v>2800</v>
      </c>
      <c r="E34" s="11" t="s">
        <v>61</v>
      </c>
      <c r="F34" s="13">
        <v>46249</v>
      </c>
      <c r="G34" s="11" t="s">
        <v>26</v>
      </c>
      <c r="H34" s="11">
        <v>598833244</v>
      </c>
      <c r="I34" s="11" t="s">
        <v>125</v>
      </c>
      <c r="J34" s="11">
        <v>209988112</v>
      </c>
      <c r="K34" s="11" t="s">
        <v>128</v>
      </c>
      <c r="L34" s="11" t="s">
        <v>69</v>
      </c>
    </row>
    <row r="35" spans="1:12" x14ac:dyDescent="0.2">
      <c r="A35" s="14"/>
      <c r="B35" s="14"/>
      <c r="C35" s="14"/>
      <c r="D35" s="15"/>
      <c r="E35" s="14"/>
      <c r="F35" s="16"/>
      <c r="G35" s="14"/>
      <c r="H35" s="14"/>
      <c r="I35" s="14"/>
      <c r="J35" s="14"/>
      <c r="K35" s="14"/>
      <c r="L35" s="14"/>
    </row>
    <row r="36" spans="1:12" x14ac:dyDescent="0.2">
      <c r="A36" s="11"/>
      <c r="B36" s="11"/>
      <c r="C36" s="11"/>
      <c r="D36" s="12"/>
      <c r="E36" s="11"/>
      <c r="F36" s="13"/>
      <c r="G36" s="11"/>
      <c r="H36" s="11"/>
      <c r="I36" s="11"/>
      <c r="J36" s="11"/>
      <c r="K36" s="11"/>
      <c r="L36" s="11"/>
    </row>
    <row r="37" spans="1:12" x14ac:dyDescent="0.2">
      <c r="A37" s="14"/>
      <c r="B37" s="14"/>
      <c r="C37" s="14"/>
      <c r="D37" s="15"/>
      <c r="E37" s="14"/>
      <c r="F37" s="16"/>
      <c r="G37" s="14"/>
      <c r="H37" s="14"/>
      <c r="I37" s="14"/>
      <c r="J37" s="14"/>
      <c r="K37" s="14"/>
      <c r="L37" s="14"/>
    </row>
    <row r="38" spans="1:12" x14ac:dyDescent="0.2">
      <c r="A38" s="11"/>
      <c r="B38" s="11"/>
      <c r="C38" s="11"/>
      <c r="D38" s="12"/>
      <c r="E38" s="11"/>
      <c r="F38" s="13"/>
      <c r="G38" s="11"/>
      <c r="H38" s="11"/>
      <c r="I38" s="11"/>
      <c r="J38" s="11"/>
      <c r="K38" s="11"/>
      <c r="L38" s="11"/>
    </row>
    <row r="39" spans="1:12" x14ac:dyDescent="0.2">
      <c r="A39" s="14"/>
      <c r="B39" s="14"/>
      <c r="C39" s="14"/>
      <c r="D39" s="15"/>
      <c r="E39" s="14"/>
      <c r="F39" s="16"/>
      <c r="G39" s="14"/>
      <c r="H39" s="14"/>
      <c r="I39" s="14"/>
      <c r="J39" s="14"/>
      <c r="K39" s="14"/>
      <c r="L39" s="14"/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3" t="s">
        <v>105</v>
      </c>
      <c r="B41" s="31"/>
      <c r="C41" s="2"/>
      <c r="D41" s="83" t="s">
        <v>106</v>
      </c>
      <c r="E41" s="31"/>
      <c r="F41" s="2"/>
      <c r="G41" s="83" t="s">
        <v>107</v>
      </c>
      <c r="H41" s="31"/>
      <c r="I41" s="83" t="s">
        <v>108</v>
      </c>
      <c r="J41" s="31"/>
      <c r="K41" s="83" t="s">
        <v>109</v>
      </c>
      <c r="L41" s="31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2" t="s">
        <v>110</v>
      </c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4">
    <mergeCell ref="H12:K19"/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V53"/>
  <sheetViews>
    <sheetView showGridLines="0" workbookViewId="0">
      <pane ySplit="3" topLeftCell="A4" activePane="bottomLeft" state="frozen"/>
      <selection pane="bottomLeft" sqref="A1:V1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2" ht="32" customHeight="1" x14ac:dyDescent="0.2">
      <c r="A1" s="91" t="s">
        <v>111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8" customHeight="1" x14ac:dyDescent="0.2">
      <c r="A2" s="90" t="s">
        <v>112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</row>
    <row r="3" spans="1:22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2" x14ac:dyDescent="0.2">
      <c r="A4" s="18"/>
      <c r="B4" s="18"/>
      <c r="C4" s="18"/>
      <c r="D4" s="18"/>
      <c r="E4" s="18"/>
      <c r="F4" s="18"/>
      <c r="G4" s="18"/>
      <c r="H4" s="18"/>
      <c r="I4" s="19"/>
      <c r="J4" s="19"/>
      <c r="K4" s="20"/>
      <c r="L4" s="21"/>
      <c r="M4" s="18"/>
      <c r="N4" s="18"/>
      <c r="O4" s="21"/>
      <c r="P4" s="18"/>
      <c r="Q4" s="22"/>
      <c r="R4" s="23"/>
      <c r="S4" s="18"/>
      <c r="T4" s="18"/>
      <c r="U4" s="18"/>
      <c r="V4" s="18"/>
    </row>
    <row r="5" spans="1:22" x14ac:dyDescent="0.2">
      <c r="A5" s="18" t="s">
        <v>118</v>
      </c>
      <c r="B5" s="18" t="s">
        <v>119</v>
      </c>
      <c r="C5" s="18" t="s">
        <v>120</v>
      </c>
      <c r="D5" s="18" t="s">
        <v>121</v>
      </c>
      <c r="E5" s="18" t="s">
        <v>122</v>
      </c>
      <c r="F5" s="18" t="s">
        <v>123</v>
      </c>
      <c r="G5" s="18" t="s">
        <v>46</v>
      </c>
      <c r="H5" s="18" t="s">
        <v>124</v>
      </c>
      <c r="I5" s="19">
        <v>45884</v>
      </c>
      <c r="J5" s="19">
        <v>46249</v>
      </c>
      <c r="K5" s="20">
        <f t="shared" ref="K5:K35" si="0"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t="shared" ref="Q5:Q35" ca="1" si="1">IFERROR(IF(J5="","",J5-TODAY()),"")</f>
        <v>28</v>
      </c>
      <c r="R5" s="23" t="str">
        <f t="shared" ref="R5:R35" ca="1" si="2">IFERROR(IF(B5="","Vacant",IF(Q5&lt;0,"Expired",IF(Q5&lt;=30,"Expiring Soon",IF(Q5&lt;=90,"Active - Review","Active")))),"Vacant")</f>
        <v>Expiring Soon</v>
      </c>
      <c r="S5" s="18" t="s">
        <v>125</v>
      </c>
      <c r="T5" s="18" t="s">
        <v>126</v>
      </c>
      <c r="U5" s="18" t="s">
        <v>127</v>
      </c>
      <c r="V5" s="18" t="s">
        <v>128</v>
      </c>
    </row>
    <row r="6" spans="1:22" x14ac:dyDescent="0.2">
      <c r="A6" s="18" t="s">
        <v>129</v>
      </c>
      <c r="B6" s="18" t="s">
        <v>130</v>
      </c>
      <c r="C6" s="18" t="s">
        <v>131</v>
      </c>
      <c r="D6" s="18" t="s">
        <v>132</v>
      </c>
      <c r="E6" s="18" t="s">
        <v>133</v>
      </c>
      <c r="F6" s="18" t="s">
        <v>134</v>
      </c>
      <c r="G6" s="18" t="s">
        <v>48</v>
      </c>
      <c r="H6" s="18" t="s">
        <v>135</v>
      </c>
      <c r="I6" s="19">
        <v>45659</v>
      </c>
      <c r="J6" s="19">
        <v>46024</v>
      </c>
      <c r="K6" s="20">
        <f t="shared" si="0"/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t="shared" ca="1" si="1"/>
        <v>-197</v>
      </c>
      <c r="R6" s="23" t="str">
        <f t="shared" ca="1" si="2"/>
        <v>Expired</v>
      </c>
      <c r="S6" s="18" t="s">
        <v>136</v>
      </c>
      <c r="T6" s="18" t="s">
        <v>137</v>
      </c>
      <c r="U6" s="18" t="s">
        <v>138</v>
      </c>
      <c r="V6" s="18" t="s">
        <v>139</v>
      </c>
    </row>
    <row r="7" spans="1:22" x14ac:dyDescent="0.2">
      <c r="A7" s="11" t="s">
        <v>166</v>
      </c>
      <c r="B7" s="11" t="s">
        <v>167</v>
      </c>
      <c r="C7" s="11">
        <v>240728535</v>
      </c>
      <c r="D7" s="11"/>
      <c r="E7" s="11"/>
      <c r="F7" s="11" t="s">
        <v>141</v>
      </c>
      <c r="G7" s="11"/>
      <c r="H7" s="11"/>
      <c r="I7" s="13"/>
      <c r="J7" s="13"/>
      <c r="K7" s="20">
        <f>IFERROR(DATEDIF(I7,J7,"M"),"")</f>
        <v>0</v>
      </c>
      <c r="L7" s="12"/>
      <c r="M7" s="11"/>
      <c r="N7" s="11"/>
      <c r="O7" s="12"/>
      <c r="P7" s="11"/>
      <c r="Q7" s="22" t="str">
        <f ca="1">IFERROR(IF(J7="","",J7-TODAY()),"")</f>
        <v/>
      </c>
      <c r="R7" s="23" t="str">
        <f ca="1">IFERROR(IF(B7="","Vacant",IF(Q7&lt;0,"Expired",IF(Q7&lt;=30,"Expiring Soon",IF(Q7&lt;=90,"Active - Review","Active")))),"Vacant")</f>
        <v>Active</v>
      </c>
      <c r="S7" s="11">
        <v>23456666</v>
      </c>
      <c r="T7" s="11"/>
      <c r="U7" s="11"/>
      <c r="V7" s="11"/>
    </row>
    <row r="8" spans="1:22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si="0"/>
        <v>0</v>
      </c>
      <c r="L8" s="15"/>
      <c r="M8" s="14"/>
      <c r="N8" s="14"/>
      <c r="O8" s="15"/>
      <c r="P8" s="14"/>
      <c r="Q8" s="22" t="str">
        <f t="shared" ca="1" si="1"/>
        <v/>
      </c>
      <c r="R8" s="23" t="str">
        <f t="shared" si="2"/>
        <v>Vacant</v>
      </c>
      <c r="S8" s="14"/>
      <c r="T8" s="14"/>
      <c r="U8" s="14"/>
      <c r="V8" s="14"/>
    </row>
    <row r="9" spans="1:22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2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2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2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2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2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2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2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140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141</v>
      </c>
      <c r="C2" t="str">
        <f>IFERROR(INDEX(TENANTS!$B$4:$B$53,MATCH(A2,TENANTS!$F$4:$F$53,0)),"Vacant")</f>
        <v xml:space="preserve">Bright </v>
      </c>
      <c r="D2">
        <f>IFERROR(INDEX(TENANTS!$L$4:$L$53,MATCH(A2,TENANTS!$F$4:$F$53,0)),"")</f>
        <v>0</v>
      </c>
      <c r="E2" t="str">
        <f t="shared" ref="E2:E13" si="0">IF(C2="Vacant","Vacant","Occupied")</f>
        <v>Occupied</v>
      </c>
    </row>
    <row r="3" spans="1:5" x14ac:dyDescent="0.2">
      <c r="A3" t="s">
        <v>142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143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144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145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146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147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148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149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150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151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152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Q53"/>
  <sheetViews>
    <sheetView showGridLines="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2" t="s">
        <v>153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1:17" ht="18" customHeight="1" x14ac:dyDescent="0.2">
      <c r="A2" s="90" t="s">
        <v>154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</row>
    <row r="3" spans="1:17" ht="22" customHeight="1" x14ac:dyDescent="0.2">
      <c r="A3" s="24" t="s">
        <v>155</v>
      </c>
      <c r="B3" s="24" t="s">
        <v>17</v>
      </c>
      <c r="C3" s="24" t="s">
        <v>18</v>
      </c>
      <c r="D3" s="24" t="s">
        <v>19</v>
      </c>
      <c r="E3" s="24" t="s">
        <v>156</v>
      </c>
      <c r="F3" s="24" t="s">
        <v>157</v>
      </c>
      <c r="G3" s="24" t="s">
        <v>20</v>
      </c>
      <c r="H3" s="24" t="s">
        <v>158</v>
      </c>
      <c r="I3" s="24" t="s">
        <v>159</v>
      </c>
      <c r="J3" s="24" t="s">
        <v>160</v>
      </c>
      <c r="K3" s="24" t="s">
        <v>113</v>
      </c>
      <c r="L3" s="24" t="s">
        <v>161</v>
      </c>
      <c r="M3" s="24" t="s">
        <v>86</v>
      </c>
      <c r="N3" s="24" t="s">
        <v>60</v>
      </c>
      <c r="O3" s="24" t="s">
        <v>162</v>
      </c>
      <c r="P3" s="24" t="s">
        <v>163</v>
      </c>
      <c r="Q3" s="24" t="s">
        <v>164</v>
      </c>
    </row>
    <row r="4" spans="1:17" x14ac:dyDescent="0.2">
      <c r="A4" s="18" t="s">
        <v>165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2026-07-18T01:42:29Z</dcterms:modified>
</cp:coreProperties>
</file>