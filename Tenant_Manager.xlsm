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376E055F-BE9B-6740-9EA7-F10A74FC7B5A}" xr6:coauthVersionLast="47" xr6:coauthVersionMax="47" xr10:uidLastSave="{00000000-0000-0000-0000-000000000000}"/>
  <bookViews>
    <workbookView xWindow="0" yWindow="760" windowWidth="29400" windowHeight="17280" activeTab="3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3" i="6" l="1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K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K22" i="4"/>
  <c r="R21" i="4"/>
  <c r="Q21" i="4"/>
  <c r="K21" i="4"/>
  <c r="R20" i="4"/>
  <c r="Q20" i="4"/>
  <c r="K20" i="4"/>
  <c r="R19" i="4"/>
  <c r="Q19" i="4"/>
  <c r="K19" i="4"/>
  <c r="R18" i="4"/>
  <c r="Q18" i="4"/>
  <c r="K18" i="4"/>
  <c r="R17" i="4"/>
  <c r="Q17" i="4"/>
  <c r="K17" i="4"/>
  <c r="R16" i="4"/>
  <c r="Q16" i="4"/>
  <c r="K16" i="4"/>
  <c r="R15" i="4"/>
  <c r="Q15" i="4"/>
  <c r="H16" i="1" s="1"/>
  <c r="K15" i="4"/>
  <c r="R14" i="4"/>
  <c r="Q14" i="4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Q9" i="4"/>
  <c r="R9" i="4" s="1"/>
  <c r="K9" i="4"/>
  <c r="Q8" i="4"/>
  <c r="R8" i="4" s="1"/>
  <c r="K8" i="4"/>
  <c r="Q7" i="4"/>
  <c r="R7" i="4" s="1"/>
  <c r="K7" i="4"/>
  <c r="Q6" i="4"/>
  <c r="R6" i="4" s="1"/>
  <c r="K6" i="4"/>
  <c r="Q5" i="4"/>
  <c r="R5" i="4" s="1"/>
  <c r="K5" i="4"/>
  <c r="Q4" i="4"/>
  <c r="R4" i="4" s="1"/>
  <c r="K4" i="4"/>
  <c r="A6" i="1"/>
  <c r="A2" i="1"/>
  <c r="L20" i="1" l="1"/>
  <c r="J19" i="1"/>
  <c r="L22" i="1"/>
  <c r="J17" i="1"/>
  <c r="L18" i="1"/>
  <c r="L15" i="1"/>
  <c r="L14" i="1"/>
  <c r="A18" i="1"/>
  <c r="C18" i="1"/>
  <c r="H21" i="1"/>
  <c r="F18" i="1"/>
  <c r="J18" i="1"/>
  <c r="C15" i="1"/>
  <c r="F15" i="1"/>
  <c r="A22" i="1"/>
  <c r="A15" i="1"/>
  <c r="H18" i="1"/>
  <c r="H15" i="1"/>
  <c r="J15" i="1"/>
  <c r="J22" i="1"/>
  <c r="C22" i="1"/>
  <c r="F22" i="1"/>
  <c r="H22" i="1"/>
  <c r="L19" i="1"/>
  <c r="A19" i="1"/>
  <c r="C19" i="1"/>
  <c r="F19" i="1"/>
  <c r="L16" i="1"/>
  <c r="H19" i="1"/>
  <c r="A21" i="1"/>
  <c r="C14" i="1"/>
  <c r="F17" i="1"/>
  <c r="C13" i="1"/>
  <c r="F20" i="1"/>
  <c r="H20" i="1"/>
  <c r="L21" i="1"/>
  <c r="J13" i="1"/>
  <c r="A17" i="1"/>
  <c r="H13" i="1"/>
  <c r="C20" i="1"/>
  <c r="A14" i="1"/>
  <c r="C17" i="1"/>
  <c r="C26" i="1"/>
  <c r="K6" i="1"/>
  <c r="K26" i="1"/>
  <c r="I26" i="1"/>
  <c r="A26" i="1"/>
  <c r="E6" i="1"/>
  <c r="C6" i="1"/>
  <c r="G26" i="1"/>
  <c r="M6" i="1"/>
  <c r="I6" i="1"/>
  <c r="G6" i="1"/>
  <c r="E26" i="1"/>
  <c r="F13" i="1"/>
  <c r="J16" i="1"/>
  <c r="A20" i="1"/>
  <c r="J21" i="1"/>
  <c r="J20" i="1"/>
  <c r="A16" i="1"/>
  <c r="H14" i="1"/>
  <c r="C16" i="1"/>
  <c r="L17" i="1"/>
  <c r="C21" i="1"/>
  <c r="L13" i="1"/>
  <c r="H17" i="1"/>
  <c r="F14" i="1"/>
  <c r="A13" i="1"/>
  <c r="J14" i="1"/>
  <c r="F16" i="1"/>
  <c r="F21" i="1"/>
</calcChain>
</file>

<file path=xl/sharedStrings.xml><?xml version="1.0" encoding="utf-8"?>
<sst xmlns="http://schemas.openxmlformats.org/spreadsheetml/2006/main" count="201" uniqueCount="147">
  <si>
    <t>🏢   TENANT MANAGEMENT DASHBOARD</t>
  </si>
  <si>
    <t xml:space="preserve">  KEY PERFORMANCE INDICATORS</t>
  </si>
  <si>
    <t>TOTAL UNITS</t>
  </si>
  <si>
    <t>ACTIVE LEASES</t>
  </si>
  <si>
    <t>EXPIRING ≤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</si>
  <si>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</si>
  <si>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</si>
  <si>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</si>
  <si>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</si>
  <si>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</si>
  <si>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</si>
  <si>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</si>
  <si>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</si>
  <si>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</si>
  <si>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</si>
  <si>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</si>
  <si>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—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</si>
  <si>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</si>
  <si>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</si>
  <si>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</si>
  <si>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</si>
  <si>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</si>
  <si>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</si>
  <si>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—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</si>
  <si>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</si>
  <si>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</si>
  <si>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</si>
  <si>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</si>
  <si>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</si>
  <si>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</si>
  <si>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</si>
  <si>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</si>
  <si>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Go to the TENANTS sheet to register each tenant. Fill in all yellow cells. Formula cells (blue text) calculate automatically.</t>
  </si>
  <si>
    <t>2</t>
  </si>
  <si>
    <t>Go to the AGREEMENTS sheet to record each lease agreement. Add a new row for each renewal — do NOT overwrite old rows. This gives you a full history.</t>
  </si>
  <si>
    <t>3</t>
  </si>
  <si>
    <t>The DASHBOARD updates automatically. The Expiry Watch section shows the 10 soonest-expiring leases within 90 days.</t>
  </si>
  <si>
    <t>4</t>
  </si>
  <si>
    <t>Status is automatic: Active → Expiring Soon (≤30 days) → Expired. 'Active - Review' means the lease ends within 3 months.</t>
  </si>
  <si>
    <t>5</t>
  </si>
  <si>
    <t>For a renewal: add a new row in AGREEMENTS with 'Renewal?' = Yes, Renewal No. = 1 (or 2 for second renewal, etc.). Update the Lease End date in TENANTS.</t>
  </si>
  <si>
    <t>6</t>
  </si>
  <si>
    <t>Yellow cells = you fill in  ·  Blue-text cells = formula, do not edit  · 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</si>
  <si>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</si>
  <si>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</si>
  <si>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</si>
  <si>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</si>
  <si>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</si>
  <si>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</si>
  <si>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</si>
  <si>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</si>
  <si>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</si>
  <si>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</si>
  <si>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</si>
  <si>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</si>
  <si>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</si>
  <si>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</si>
  <si>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</si>
  <si>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</si>
  <si>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</si>
  <si>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</si>
  <si>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</si>
  <si>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</si>
  <si>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</si>
  <si>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</si>
  <si>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</si>
  <si>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</si>
  <si>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</si>
  <si>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</si>
  <si>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</si>
  <si>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</si>
  <si>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</si>
  <si>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</si>
  <si>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</si>
  <si>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</si>
  <si>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🏢 PROPERTY MANAGEMENT SYSTEM</t>
  </si>
  <si>
    <t>TENANT REGISTRATION FORM</t>
  </si>
  <si>
    <t>Complete all fields • Yellow cells are editable</t>
  </si>
  <si>
    <t>T-001</t>
  </si>
  <si>
    <t>Full Name / Company</t>
  </si>
  <si>
    <t>Phone</t>
  </si>
  <si>
    <t>Email</t>
  </si>
  <si>
    <t>ID / Reg No.</t>
  </si>
  <si>
    <t>Unit Number</t>
  </si>
  <si>
    <t>Unit Type</t>
  </si>
  <si>
    <t>Floor / Block</t>
  </si>
  <si>
    <t>Contract Start</t>
  </si>
  <si>
    <t>Contract End</t>
  </si>
  <si>
    <t>Monthly Rent</t>
  </si>
  <si>
    <t>Payment Frequency</t>
  </si>
  <si>
    <t>Deposit Paid</t>
  </si>
  <si>
    <t>Payment Method</t>
  </si>
  <si>
    <t>Emergency Contact</t>
  </si>
  <si>
    <t>Relationship</t>
  </si>
  <si>
    <t>Emergency Phone</t>
  </si>
  <si>
    <t>Residential Address</t>
  </si>
  <si>
    <t>Additional Notes / Special Conditions</t>
  </si>
  <si>
    <t>Tenant Signature</t>
  </si>
  <si>
    <t>Property Manager</t>
  </si>
  <si>
    <t>Transfer approved tenant records into TENANTS sheet</t>
  </si>
  <si>
    <t>▶ SUBMIT TENANT</t>
  </si>
  <si>
    <t>🏢  TENANT REGISTER</t>
  </si>
  <si>
    <t>Yellow cells = data entry  ·  Blue text = formula (do not edit)  ·  Status updates automatically</t>
  </si>
  <si>
    <t>Term (months)</t>
  </si>
  <si>
    <t>Payment Freq.</t>
  </si>
  <si>
    <t>Days to Expiry</t>
  </si>
  <si>
    <t>Kwame Mensah Enterprises</t>
  </si>
  <si>
    <t>0244123456</t>
  </si>
  <si>
    <t>kwame@example.com</t>
  </si>
  <si>
    <t>GH-0012345</t>
  </si>
  <si>
    <t>A-101</t>
  </si>
  <si>
    <t>1st / Block A</t>
  </si>
  <si>
    <t>2024-01-01</t>
  </si>
  <si>
    <t>2024-12-31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</si>
  <si>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</si>
  <si>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</si>
  <si>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</si>
  <si>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</si>
  <si>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</si>
  <si>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</si>
  <si>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</si>
  <si>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</si>
  <si>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</si>
  <si>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</si>
  <si>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</si>
  <si>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</si>
  <si>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</si>
  <si>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📋  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</si>
  <si>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</si>
  <si>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</si>
  <si>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</si>
  <si>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</si>
  <si>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</si>
  <si>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</si>
  <si>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</si>
  <si>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</si>
  <si>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</si>
  <si>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</si>
  <si>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</si>
  <si>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</si>
  <si>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Bright</t>
  </si>
  <si>
    <t>b2gmail.com</t>
  </si>
  <si>
    <t>T-002</t>
  </si>
  <si>
    <t>T-004</t>
  </si>
  <si>
    <t>T-005</t>
  </si>
  <si>
    <t>T-006</t>
  </si>
  <si>
    <t>T-007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</si>
</sst>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1" x14ac:knownFonts="1">
    <font>
      <sz val="11"/>
      <color theme="1"/>
      <name val="Calibri"/>
      <family val="2"/>
      <scheme val="minor"/>
    </font>
    <font>
      <b/>
      <sz val="13"/>
      <color rgb="FFFFFFFF"/>
      <name val="Arial"/>
      <family val="2"/>
    </font>
    <font>
      <b/>
      <sz val="16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1F3864"/>
      <name val="Arial"/>
      <family val="2"/>
    </font>
    <font>
      <sz val="9"/>
      <color rgb="FF000000"/>
      <name val="Arial"/>
      <family val="2"/>
    </font>
    <font>
      <b/>
      <sz val="10"/>
      <color rgb="FFFFFFFF"/>
      <name val="Arial"/>
      <family val="2"/>
    </font>
    <font>
      <i/>
      <sz val="8"/>
      <color rgb="FFFFFFFF"/>
      <name val="Arial"/>
      <family val="2"/>
    </font>
    <font>
      <b/>
      <sz val="14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b/>
      <sz val="9"/>
      <color rgb="FF000000"/>
      <name val="Arial"/>
      <family val="2"/>
    </font>
    <font>
      <b/>
      <sz val="12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17A589"/>
      </patternFill>
    </fill>
    <fill>
      <patternFill patternType="solid">
        <fgColor rgb="FF566573"/>
      </patternFill>
    </fill>
    <fill>
      <patternFill patternType="solid">
        <fgColor rgb="FFEAF2FF"/>
      </patternFill>
    </fill>
    <fill>
      <patternFill patternType="solid">
        <fgColor rgb="FFFFF9C4"/>
      </patternFill>
    </fill>
    <fill>
      <patternFill patternType="solid">
        <fgColor rgb="FFD6EAF8"/>
      </patternFill>
    </fill>
    <fill>
      <patternFill patternType="solid">
        <fgColor rgb="FFFFFFFF"/>
      </patternFill>
    </fill>
    <fill>
      <patternFill patternType="solid">
        <fgColor rgb="FFF8F9FA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</fills>
  <borders count="4">
    <border>
      <left/>
      <right/>
      <top/>
      <bottom/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medium">
        <color rgb="FFBFC9CA"/>
      </left>
      <right style="medium">
        <color rgb="FFBFC9CA"/>
      </right>
      <top style="medium">
        <color rgb="FFBFC9CA"/>
      </top>
      <bottom style="medium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6" fillId="3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right" vertical="center"/>
    </xf>
    <xf numFmtId="0" fontId="0" fillId="6" borderId="2" xfId="0" applyFill="1" applyBorder="1"/>
    <xf numFmtId="0" fontId="9" fillId="2" borderId="3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164" fontId="10" fillId="6" borderId="1" xfId="0" applyNumberFormat="1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center" vertical="center"/>
    </xf>
    <xf numFmtId="4" fontId="10" fillId="6" borderId="1" xfId="0" applyNumberFormat="1" applyFont="1" applyFill="1" applyBorder="1" applyAlignment="1">
      <alignment horizontal="left" vertical="center"/>
    </xf>
    <xf numFmtId="1" fontId="11" fillId="7" borderId="1" xfId="0" applyNumberFormat="1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64" fontId="5" fillId="8" borderId="1" xfId="0" applyNumberFormat="1" applyFont="1" applyFill="1" applyBorder="1" applyAlignment="1">
      <alignment horizontal="left" vertical="center"/>
    </xf>
    <xf numFmtId="4" fontId="5" fillId="8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left" vertical="center"/>
    </xf>
    <xf numFmtId="164" fontId="5" fillId="9" borderId="1" xfId="0" applyNumberFormat="1" applyFont="1" applyFill="1" applyBorder="1" applyAlignment="1">
      <alignment horizontal="left" vertical="center"/>
    </xf>
    <xf numFmtId="4" fontId="5" fillId="9" borderId="1" xfId="0" applyNumberFormat="1" applyFont="1" applyFill="1" applyBorder="1" applyAlignment="1">
      <alignment horizontal="left" vertical="center"/>
    </xf>
    <xf numFmtId="0" fontId="9" fillId="3" borderId="3" xfId="0" applyFont="1" applyFill="1" applyBorder="1" applyAlignment="1">
      <alignment horizontal="center" vertical="center"/>
    </xf>
    <xf numFmtId="4" fontId="11" fillId="7" borderId="1" xfId="0" applyNumberFormat="1" applyFont="1" applyFill="1" applyBorder="1" applyAlignment="1">
      <alignment horizontal="center" vertical="center"/>
    </xf>
    <xf numFmtId="165" fontId="10" fillId="6" borderId="1" xfId="0" applyNumberFormat="1" applyFont="1" applyFill="1" applyBorder="1" applyAlignment="1">
      <alignment horizontal="left" vertical="center"/>
    </xf>
    <xf numFmtId="164" fontId="11" fillId="7" borderId="1" xfId="0" applyNumberFormat="1" applyFont="1" applyFill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left" vertical="center"/>
    </xf>
    <xf numFmtId="165" fontId="5" fillId="9" borderId="1" xfId="0" applyNumberFormat="1" applyFont="1" applyFill="1" applyBorder="1" applyAlignment="1">
      <alignment horizontal="left" vertical="center"/>
    </xf>
    <xf numFmtId="0" fontId="19" fillId="12" borderId="1" xfId="0" applyFont="1" applyFill="1" applyBorder="1" applyAlignment="1">
      <alignment horizontal="center" vertical="center"/>
    </xf>
    <xf numFmtId="0" fontId="0" fillId="0" borderId="0" xfId="0"/>
    <xf numFmtId="0" fontId="5" fillId="8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5" fillId="10" borderId="0" xfId="0" applyFont="1" applyFill="1" applyAlignment="1">
      <alignment horizontal="left" vertical="center"/>
    </xf>
    <xf numFmtId="0" fontId="12" fillId="8" borderId="1" xfId="0" applyFont="1" applyFill="1" applyBorder="1"/>
    <xf numFmtId="0" fontId="9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 wrapText="1"/>
    </xf>
    <xf numFmtId="0" fontId="12" fillId="9" borderId="1" xfId="0" applyFont="1" applyFill="1" applyBorder="1"/>
    <xf numFmtId="164" fontId="5" fillId="8" borderId="1" xfId="0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3" fontId="17" fillId="12" borderId="0" xfId="0" applyNumberFormat="1" applyFont="1" applyFill="1" applyAlignment="1">
      <alignment horizontal="center" vertical="center"/>
    </xf>
    <xf numFmtId="3" fontId="17" fillId="13" borderId="0" xfId="0" applyNumberFormat="1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left" vertical="center"/>
    </xf>
    <xf numFmtId="0" fontId="9" fillId="10" borderId="1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9" fillId="13" borderId="1" xfId="0" applyFont="1" applyFill="1" applyBorder="1" applyAlignment="1">
      <alignment horizontal="center" vertical="center"/>
    </xf>
    <xf numFmtId="164" fontId="5" fillId="9" borderId="1" xfId="0" applyNumberFormat="1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5" fillId="9" borderId="1" xfId="0" applyFont="1" applyFill="1" applyBorder="1" applyAlignment="1">
      <alignment horizontal="left" vertical="center" wrapText="1"/>
    </xf>
    <xf numFmtId="0" fontId="17" fillId="10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20" fillId="14" borderId="1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65" fontId="17" fillId="2" borderId="0" xfId="0" applyNumberFormat="1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9" fillId="11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0" fillId="6" borderId="2" xfId="0" applyFill="1" applyBorder="1"/>
    <xf numFmtId="0" fontId="5" fillId="6" borderId="2" xfId="0" applyFont="1" applyFill="1" applyBorder="1"/>
    <xf numFmtId="0" fontId="7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42</xdr:row>
      <xdr:rowOff>139700</xdr:rowOff>
    </xdr:from>
    <xdr:to>
      <xdr:col>6</xdr:col>
      <xdr:colOff>63500</xdr:colOff>
      <xdr:row>46</xdr:row>
      <xdr:rowOff>0</xdr:rowOff>
    </xdr:to>
    <xdr:sp macro="[0]!SubmitTenant" textlink="">
      <xdr:nvSpPr>
        <xdr:cNvPr id="4" name="Rectangle 3">
          <a:extLst>
            <a:ext uri="{FF2B5EF4-FFF2-40B4-BE49-F238E27FC236}">
              <a16:creationId xmlns:a16="http://schemas.microsoft.com/office/drawing/2014/main" id="{73C70ED5-5B00-C719-85B5-DE129BFD45DF}"/>
            </a:ext>
          </a:extLst>
        </xdr:cNvPr>
        <xdr:cNvSpPr/>
      </xdr:nvSpPr>
      <xdr:spPr>
        <a:xfrm>
          <a:off x="2286000" y="8229600"/>
          <a:ext cx="4559300" cy="622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  </a:t>
          </a:r>
        </a:p>
        <a:p>
          <a:pPr algn="l"/>
          <a:r>
            <a:rPr lang="en-GB" sz="1100"/>
            <a:t>               </a:t>
          </a:r>
          <a:r>
            <a:rPr lang="en-GB" sz="1100" baseline="0"/>
            <a:t>                                   </a:t>
          </a:r>
          <a:r>
            <a:rPr lang="en-GB" sz="1800" baseline="0"/>
            <a:t>SUBMIT TENANT</a:t>
          </a:r>
          <a:endParaRPr lang="en-GB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35"/>
  <sheetViews>
    <sheetView showGridLines="0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48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ht="20" customHeight="1" x14ac:dyDescent="0.2">
      <c r="A2" s="60" t="str">
        <f ca="1">_xlfn.TEXTJOIN("  ·  ",TRUE,"Report Date:",TEXT(TODAY(),"DD MMMM YYYY"))</f>
        <v>Report Date:  ·  12 July 2026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</row>
    <row r="4" spans="1:14" ht="24" customHeight="1" x14ac:dyDescent="0.2">
      <c r="A4" s="50" t="s">
        <v>1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1:14" ht="20" customHeight="1" x14ac:dyDescent="0.2">
      <c r="A5" s="46" t="s">
        <v>2</v>
      </c>
      <c r="B5" s="24"/>
      <c r="C5" s="42" t="s">
        <v>3</v>
      </c>
      <c r="D5" s="24"/>
      <c r="E5" s="43" t="s">
        <v>4</v>
      </c>
      <c r="F5" s="24"/>
      <c r="G5" s="68" t="s">
        <v>5</v>
      </c>
      <c r="H5" s="24"/>
      <c r="I5" s="69" t="s">
        <v>6</v>
      </c>
      <c r="J5" s="24"/>
      <c r="K5" s="45" t="s">
        <v>7</v>
      </c>
      <c r="L5" s="24"/>
      <c r="M5" s="46" t="s">
        <v>8</v>
      </c>
      <c r="N5" s="24"/>
    </row>
    <row r="6" spans="1:14" ht="20" customHeight="1" x14ac:dyDescent="0.2">
      <c r="A6" s="63">
        <f>COUNTA(TENANTS!B4:B52)</f>
        <v>6</v>
      </c>
      <c r="B6" s="24"/>
      <c r="C6" s="41">
        <f ca="1">COUNTIF(TENANTS!R4:R52,"Active")+COUNTIF(TENANTS!R4:R52,"Active - Review")</f>
        <v>5</v>
      </c>
      <c r="D6" s="24"/>
      <c r="E6" s="59">
        <f ca="1">COUNTIF(TENANTS!R4:R52,"Expiring Soon")</f>
        <v>0</v>
      </c>
      <c r="F6" s="24"/>
      <c r="G6" s="67">
        <f ca="1">COUNTIF(TENANTS!R4:R52,"Expired")</f>
        <v>1</v>
      </c>
      <c r="H6" s="24"/>
      <c r="I6" s="38">
        <f ca="1">SUMIF(TENANTS!R4:R52,"Active",TENANTS!L4:L52)+SUMIF(TENANTS!R4:R52,"Active - Review",TENANTS!L4:L52)</f>
        <v>0</v>
      </c>
      <c r="J6" s="24"/>
      <c r="K6" s="39">
        <f ca="1">(SUMIF(TENANTS!R4:R52,"Active",TENANTS!L4:L52)+SUMIF(TENANTS!R4:R52,"Active - Review",TENANTS!L4:L52))*12</f>
        <v>0</v>
      </c>
      <c r="L6" s="24"/>
      <c r="M6" s="66">
        <f ca="1">IFERROR((COUNTIF(TENANTS!R4:R52,"Active")+COUNTIF(TENANTS!R4:R52,"Active - Review"))/COUNTA(TENANTS!B4:B52),0)</f>
        <v>0.83333333333333337</v>
      </c>
      <c r="N6" s="24"/>
    </row>
    <row r="7" spans="1:14" ht="28" customHeight="1" x14ac:dyDescent="0.2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</row>
    <row r="8" spans="1:14" ht="20" customHeight="1" x14ac:dyDescent="0.2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</row>
    <row r="9" spans="1:14" ht="20" customHeight="1" x14ac:dyDescent="0.2">
      <c r="A9" s="37" t="s">
        <v>9</v>
      </c>
      <c r="B9" s="24"/>
      <c r="C9" s="64" t="s">
        <v>10</v>
      </c>
      <c r="D9" s="24"/>
      <c r="E9" s="65" t="s">
        <v>11</v>
      </c>
      <c r="F9" s="24"/>
      <c r="G9" s="56" t="s">
        <v>12</v>
      </c>
      <c r="H9" s="24"/>
      <c r="I9" s="57" t="s">
        <v>13</v>
      </c>
      <c r="J9" s="24"/>
      <c r="K9" s="44" t="s">
        <v>14</v>
      </c>
      <c r="L9" s="24"/>
      <c r="M9" s="37" t="s">
        <v>15</v>
      </c>
      <c r="N9" s="24"/>
    </row>
    <row r="11" spans="1:14" ht="22" customHeight="1" x14ac:dyDescent="0.2">
      <c r="A11" s="28" t="s">
        <v>16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ht="20" customHeight="1" x14ac:dyDescent="0.2">
      <c r="A12" s="47" t="s">
        <v>17</v>
      </c>
      <c r="B12" s="24"/>
      <c r="C12" s="47" t="s">
        <v>18</v>
      </c>
      <c r="D12" s="24"/>
      <c r="E12" s="24"/>
      <c r="F12" s="47" t="s">
        <v>19</v>
      </c>
      <c r="G12" s="24"/>
      <c r="H12" s="47" t="s">
        <v>20</v>
      </c>
      <c r="I12" s="24"/>
      <c r="J12" s="47" t="s">
        <v>21</v>
      </c>
      <c r="K12" s="24"/>
      <c r="L12" s="47" t="s">
        <v>22</v>
      </c>
      <c r="M12" s="24"/>
      <c r="N12" s="24"/>
    </row>
    <row r="13" spans="1:14" ht="18" customHeight="1" x14ac:dyDescent="0.2">
      <c r="A13" s="25" t="str">
        <f ca="1">IFERROR(INDEX(TENANTS!A$4:A$52,MATCH(SMALL(IF((TENANTS!Q$4:Q$52&gt;=0)*(TENANTS!Q$4:Q$52&lt;=90),TENANTS!Q$4:Q$52),1),TENANTS!Q$4:Q$52,0)),"—")</f>
        <v>—</v>
      </c>
      <c r="B13" s="24"/>
      <c r="C13" s="29" t="str">
        <f ca="1">IFERROR(INDEX(TENANTS!B$4:B$52,MATCH(SMALL(IF((TENANTS!Q$4:Q$52&gt;=0)*(TENANTS!Q$4:Q$52&lt;=90),TENANTS!Q$4:Q$52),1),TENANTS!Q$4:Q$52,0)),"—")</f>
        <v>—</v>
      </c>
      <c r="D13" s="24"/>
      <c r="E13" s="24"/>
      <c r="F13" s="25" t="str">
        <f ca="1">IFERROR(INDEX(TENANTS!F$4:F$52,MATCH(SMALL(IF((TENANTS!Q$4:Q$52&gt;=0)*(TENANTS!Q$4:Q$52&lt;=90),TENANTS!Q$4:Q$52),1),TENANTS!Q$4:Q$52,0)),"—")</f>
        <v>—</v>
      </c>
      <c r="G13" s="24"/>
      <c r="H13" s="33" t="str">
        <f ca="1">IFERROR(INDEX(TENANTS!J$4:J$52,MATCH(SMALL(IF((TENANTS!Q$4:Q$52&gt;=0)*(TENANTS!Q$4:Q$52&lt;=90),TENANTS!Q$4:Q$52),1),TENANTS!Q$4:Q$52,0)),"—")</f>
        <v>—</v>
      </c>
      <c r="I13" s="24"/>
      <c r="J13" s="27">
        <f ca="1">IFERROR(SMALL(IF((TENANTS!Q$4:Q$52&gt;=0)*(TENANTS!Q$4:Q$52&lt;=90),TENANTS!Q$4:Q$52),1),"—")</f>
        <v>0</v>
      </c>
      <c r="K13" s="24"/>
      <c r="L13" s="34" t="str">
        <f ca="1">IFERROR(INDEX(TENANTS!R$4:R$52,MATCH(SMALL(IF((TENANTS!Q$4:Q$52&gt;=0)*(TENANTS!Q$4:Q$52&lt;=90),TENANTS!Q$4:Q$52),1),TENANTS!Q$4:Q$52,0)),"—")</f>
        <v>—</v>
      </c>
      <c r="M13" s="24"/>
      <c r="N13" s="24"/>
    </row>
    <row r="14" spans="1:14" ht="18" customHeight="1" x14ac:dyDescent="0.2">
      <c r="A14" s="26" t="str">
        <f ca="1">IFERROR(INDEX(TENANTS!A$4:A$52,MATCH(SMALL(IF((TENANTS!Q$4:Q$52&gt;=0)*(TENANTS!Q$4:Q$52&lt;=90),TENANTS!Q$4:Q$52),2),TENANTS!Q$4:Q$52,0)),"—")</f>
        <v>—</v>
      </c>
      <c r="B14" s="24"/>
      <c r="C14" s="32" t="str">
        <f ca="1">IFERROR(INDEX(TENANTS!B$4:B$52,MATCH(SMALL(IF((TENANTS!Q$4:Q$52&gt;=0)*(TENANTS!Q$4:Q$52&lt;=90),TENANTS!Q$4:Q$52),2),TENANTS!Q$4:Q$52,0)),"—")</f>
        <v>—</v>
      </c>
      <c r="D14" s="24"/>
      <c r="E14" s="24"/>
      <c r="F14" s="26" t="str">
        <f ca="1">IFERROR(INDEX(TENANTS!F$4:F$52,MATCH(SMALL(IF((TENANTS!Q$4:Q$52&gt;=0)*(TENANTS!Q$4:Q$52&lt;=90),TENANTS!Q$4:Q$52),2),TENANTS!Q$4:Q$52,0)),"—")</f>
        <v>—</v>
      </c>
      <c r="G14" s="24"/>
      <c r="H14" s="55" t="str">
        <f ca="1">IFERROR(INDEX(TENANTS!J$4:J$52,MATCH(SMALL(IF((TENANTS!Q$4:Q$52&gt;=0)*(TENANTS!Q$4:Q$52&lt;=90),TENANTS!Q$4:Q$52),2),TENANTS!Q$4:Q$52,0)),"—")</f>
        <v>—</v>
      </c>
      <c r="I14" s="24"/>
      <c r="J14" s="49" t="str">
        <f ca="1">IFERROR(SMALL(IF((TENANTS!Q$4:Q$52&gt;=0)*(TENANTS!Q$4:Q$52&lt;=90),TENANTS!Q$4:Q$52),2),"—")</f>
        <v>—</v>
      </c>
      <c r="K14" s="24"/>
      <c r="L14" s="40" t="str">
        <f ca="1">IFERROR(INDEX(TENANTS!R$4:R$52,MATCH(SMALL(IF((TENANTS!Q$4:Q$52&gt;=0)*(TENANTS!Q$4:Q$52&lt;=90),TENANTS!Q$4:Q$52),2),TENANTS!Q$4:Q$52,0)),"—")</f>
        <v>—</v>
      </c>
      <c r="M14" s="24"/>
      <c r="N14" s="24"/>
    </row>
    <row r="15" spans="1:14" ht="18" customHeight="1" x14ac:dyDescent="0.2">
      <c r="A15" s="25" t="str">
        <f ca="1">IFERROR(INDEX(TENANTS!A$4:A$52,MATCH(SMALL(IF((TENANTS!Q$4:Q$52&gt;=0)*(TENANTS!Q$4:Q$52&lt;=90),TENANTS!Q$4:Q$52),3),TENANTS!Q$4:Q$52,0)),"—")</f>
        <v>—</v>
      </c>
      <c r="B15" s="24"/>
      <c r="C15" s="29" t="str">
        <f ca="1">IFERROR(INDEX(TENANTS!B$4:B$52,MATCH(SMALL(IF((TENANTS!Q$4:Q$52&gt;=0)*(TENANTS!Q$4:Q$52&lt;=90),TENANTS!Q$4:Q$52),3),TENANTS!Q$4:Q$52,0)),"—")</f>
        <v>—</v>
      </c>
      <c r="D15" s="24"/>
      <c r="E15" s="24"/>
      <c r="F15" s="25" t="str">
        <f ca="1">IFERROR(INDEX(TENANTS!F$4:F$52,MATCH(SMALL(IF((TENANTS!Q$4:Q$52&gt;=0)*(TENANTS!Q$4:Q$52&lt;=90),TENANTS!Q$4:Q$52),3),TENANTS!Q$4:Q$52,0)),"—")</f>
        <v>—</v>
      </c>
      <c r="G15" s="24"/>
      <c r="H15" s="33" t="str">
        <f ca="1">IFERROR(INDEX(TENANTS!J$4:J$52,MATCH(SMALL(IF((TENANTS!Q$4:Q$52&gt;=0)*(TENANTS!Q$4:Q$52&lt;=90),TENANTS!Q$4:Q$52),3),TENANTS!Q$4:Q$52,0)),"—")</f>
        <v>—</v>
      </c>
      <c r="I15" s="24"/>
      <c r="J15" s="27" t="str">
        <f ca="1">IFERROR(SMALL(IF((TENANTS!Q$4:Q$52&gt;=0)*(TENANTS!Q$4:Q$52&lt;=90),TENANTS!Q$4:Q$52),3),"—")</f>
        <v>—</v>
      </c>
      <c r="K15" s="24"/>
      <c r="L15" s="34" t="str">
        <f ca="1">IFERROR(INDEX(TENANTS!R$4:R$52,MATCH(SMALL(IF((TENANTS!Q$4:Q$52&gt;=0)*(TENANTS!Q$4:Q$52&lt;=90),TENANTS!Q$4:Q$52),3),TENANTS!Q$4:Q$52,0)),"—")</f>
        <v>—</v>
      </c>
      <c r="M15" s="24"/>
      <c r="N15" s="24"/>
    </row>
    <row r="16" spans="1:14" ht="18" customHeight="1" x14ac:dyDescent="0.2">
      <c r="A16" s="26" t="str">
        <f ca="1">IFERROR(INDEX(TENANTS!A$4:A$52,MATCH(SMALL(IF((TENANTS!Q$4:Q$52&gt;=0)*(TENANTS!Q$4:Q$52&lt;=90),TENANTS!Q$4:Q$52),4),TENANTS!Q$4:Q$52,0)),"—")</f>
        <v>—</v>
      </c>
      <c r="B16" s="24"/>
      <c r="C16" s="32" t="str">
        <f ca="1">IFERROR(INDEX(TENANTS!B$4:B$52,MATCH(SMALL(IF((TENANTS!Q$4:Q$52&gt;=0)*(TENANTS!Q$4:Q$52&lt;=90),TENANTS!Q$4:Q$52),4),TENANTS!Q$4:Q$52,0)),"—")</f>
        <v>—</v>
      </c>
      <c r="D16" s="24"/>
      <c r="E16" s="24"/>
      <c r="F16" s="26" t="str">
        <f ca="1">IFERROR(INDEX(TENANTS!F$4:F$52,MATCH(SMALL(IF((TENANTS!Q$4:Q$52&gt;=0)*(TENANTS!Q$4:Q$52&lt;=90),TENANTS!Q$4:Q$52),4),TENANTS!Q$4:Q$52,0)),"—")</f>
        <v>—</v>
      </c>
      <c r="G16" s="24"/>
      <c r="H16" s="55" t="str">
        <f ca="1">IFERROR(INDEX(TENANTS!J$4:J$52,MATCH(SMALL(IF((TENANTS!Q$4:Q$52&gt;=0)*(TENANTS!Q$4:Q$52&lt;=90),TENANTS!Q$4:Q$52),4),TENANTS!Q$4:Q$52,0)),"—")</f>
        <v>—</v>
      </c>
      <c r="I16" s="24"/>
      <c r="J16" s="49" t="str">
        <f ca="1">IFERROR(SMALL(IF((TENANTS!Q$4:Q$52&gt;=0)*(TENANTS!Q$4:Q$52&lt;=90),TENANTS!Q$4:Q$52),4),"—")</f>
        <v>—</v>
      </c>
      <c r="K16" s="24"/>
      <c r="L16" s="40" t="str">
        <f ca="1">IFERROR(INDEX(TENANTS!R$4:R$52,MATCH(SMALL(IF((TENANTS!Q$4:Q$52&gt;=0)*(TENANTS!Q$4:Q$52&lt;=90),TENANTS!Q$4:Q$52),4),TENANTS!Q$4:Q$52,0)),"—")</f>
        <v>—</v>
      </c>
      <c r="M16" s="24"/>
      <c r="N16" s="24"/>
    </row>
    <row r="17" spans="1:14" ht="18" customHeight="1" x14ac:dyDescent="0.2">
      <c r="A17" s="25" t="str">
        <f ca="1">IFERROR(INDEX(TENANTS!A$4:A$52,MATCH(SMALL(IF((TENANTS!Q$4:Q$52&gt;=0)*(TENANTS!Q$4:Q$52&lt;=90),TENANTS!Q$4:Q$52),5),TENANTS!Q$4:Q$52,0)),"—")</f>
        <v>—</v>
      </c>
      <c r="B17" s="24"/>
      <c r="C17" s="29" t="str">
        <f ca="1">IFERROR(INDEX(TENANTS!B$4:B$52,MATCH(SMALL(IF((TENANTS!Q$4:Q$52&gt;=0)*(TENANTS!Q$4:Q$52&lt;=90),TENANTS!Q$4:Q$52),5),TENANTS!Q$4:Q$52,0)),"—")</f>
        <v>—</v>
      </c>
      <c r="D17" s="24"/>
      <c r="E17" s="24"/>
      <c r="F17" s="25" t="str">
        <f ca="1">IFERROR(INDEX(TENANTS!F$4:F$52,MATCH(SMALL(IF((TENANTS!Q$4:Q$52&gt;=0)*(TENANTS!Q$4:Q$52&lt;=90),TENANTS!Q$4:Q$52),5),TENANTS!Q$4:Q$52,0)),"—")</f>
        <v>—</v>
      </c>
      <c r="G17" s="24"/>
      <c r="H17" s="33" t="str">
        <f ca="1">IFERROR(INDEX(TENANTS!J$4:J$52,MATCH(SMALL(IF((TENANTS!Q$4:Q$52&gt;=0)*(TENANTS!Q$4:Q$52&lt;=90),TENANTS!Q$4:Q$52),5),TENANTS!Q$4:Q$52,0)),"—")</f>
        <v>—</v>
      </c>
      <c r="I17" s="24"/>
      <c r="J17" s="27" t="str">
        <f ca="1">IFERROR(SMALL(IF((TENANTS!Q$4:Q$52&gt;=0)*(TENANTS!Q$4:Q$52&lt;=90),TENANTS!Q$4:Q$52),5),"—")</f>
        <v>—</v>
      </c>
      <c r="K17" s="24"/>
      <c r="L17" s="34" t="str">
        <f ca="1">IFERROR(INDEX(TENANTS!R$4:R$52,MATCH(SMALL(IF((TENANTS!Q$4:Q$52&gt;=0)*(TENANTS!Q$4:Q$52&lt;=90),TENANTS!Q$4:Q$52),5),TENANTS!Q$4:Q$52,0)),"—")</f>
        <v>—</v>
      </c>
      <c r="M17" s="24"/>
      <c r="N17" s="24"/>
    </row>
    <row r="18" spans="1:14" ht="18" customHeight="1" x14ac:dyDescent="0.2">
      <c r="A18" s="26" t="str">
        <f ca="1">IFERROR(INDEX(TENANTS!A$4:A$52,MATCH(SMALL(IF((TENANTS!Q$4:Q$52&gt;=0)*(TENANTS!Q$4:Q$52&lt;=90),TENANTS!Q$4:Q$52),6),TENANTS!Q$4:Q$52,0)),"—")</f>
        <v>—</v>
      </c>
      <c r="B18" s="24"/>
      <c r="C18" s="32" t="str">
        <f ca="1">IFERROR(INDEX(TENANTS!B$4:B$52,MATCH(SMALL(IF((TENANTS!Q$4:Q$52&gt;=0)*(TENANTS!Q$4:Q$52&lt;=90),TENANTS!Q$4:Q$52),6),TENANTS!Q$4:Q$52,0)),"—")</f>
        <v>—</v>
      </c>
      <c r="D18" s="24"/>
      <c r="E18" s="24"/>
      <c r="F18" s="26" t="str">
        <f ca="1">IFERROR(INDEX(TENANTS!F$4:F$52,MATCH(SMALL(IF((TENANTS!Q$4:Q$52&gt;=0)*(TENANTS!Q$4:Q$52&lt;=90),TENANTS!Q$4:Q$52),6),TENANTS!Q$4:Q$52,0)),"—")</f>
        <v>—</v>
      </c>
      <c r="G18" s="24"/>
      <c r="H18" s="55" t="str">
        <f ca="1">IFERROR(INDEX(TENANTS!J$4:J$52,MATCH(SMALL(IF((TENANTS!Q$4:Q$52&gt;=0)*(TENANTS!Q$4:Q$52&lt;=90),TENANTS!Q$4:Q$52),6),TENANTS!Q$4:Q$52,0)),"—")</f>
        <v>—</v>
      </c>
      <c r="I18" s="24"/>
      <c r="J18" s="49" t="str">
        <f ca="1">IFERROR(SMALL(IF((TENANTS!Q$4:Q$52&gt;=0)*(TENANTS!Q$4:Q$52&lt;=90),TENANTS!Q$4:Q$52),6),"—")</f>
        <v>—</v>
      </c>
      <c r="K18" s="24"/>
      <c r="L18" s="40" t="str">
        <f ca="1">IFERROR(INDEX(TENANTS!R$4:R$52,MATCH(SMALL(IF((TENANTS!Q$4:Q$52&gt;=0)*(TENANTS!Q$4:Q$52&lt;=90),TENANTS!Q$4:Q$52),6),TENANTS!Q$4:Q$52,0)),"—")</f>
        <v>—</v>
      </c>
      <c r="M18" s="24"/>
      <c r="N18" s="24"/>
    </row>
    <row r="19" spans="1:14" ht="18" customHeight="1" x14ac:dyDescent="0.2">
      <c r="A19" s="25" t="str">
        <f ca="1">IFERROR(INDEX(TENANTS!A$4:A$52,MATCH(SMALL(IF((TENANTS!Q$4:Q$52&gt;=0)*(TENANTS!Q$4:Q$52&lt;=90),TENANTS!Q$4:Q$52),7),TENANTS!Q$4:Q$52,0)),"—")</f>
        <v>—</v>
      </c>
      <c r="B19" s="24"/>
      <c r="C19" s="29" t="str">
        <f ca="1">IFERROR(INDEX(TENANTS!B$4:B$52,MATCH(SMALL(IF((TENANTS!Q$4:Q$52&gt;=0)*(TENANTS!Q$4:Q$52&lt;=90),TENANTS!Q$4:Q$52),7),TENANTS!Q$4:Q$52,0)),"—")</f>
        <v>—</v>
      </c>
      <c r="D19" s="24"/>
      <c r="E19" s="24"/>
      <c r="F19" s="25" t="str">
        <f ca="1">IFERROR(INDEX(TENANTS!F$4:F$52,MATCH(SMALL(IF((TENANTS!Q$4:Q$52&gt;=0)*(TENANTS!Q$4:Q$52&lt;=90),TENANTS!Q$4:Q$52),7),TENANTS!Q$4:Q$52,0)),"—")</f>
        <v>—</v>
      </c>
      <c r="G19" s="24"/>
      <c r="H19" s="33" t="str">
        <f ca="1">IFERROR(INDEX(TENANTS!J$4:J$52,MATCH(SMALL(IF((TENANTS!Q$4:Q$52&gt;=0)*(TENANTS!Q$4:Q$52&lt;=90),TENANTS!Q$4:Q$52),7),TENANTS!Q$4:Q$52,0)),"—")</f>
        <v>—</v>
      </c>
      <c r="I19" s="24"/>
      <c r="J19" s="27" t="str">
        <f ca="1">IFERROR(SMALL(IF((TENANTS!Q$4:Q$52&gt;=0)*(TENANTS!Q$4:Q$52&lt;=90),TENANTS!Q$4:Q$52),7),"—")</f>
        <v>—</v>
      </c>
      <c r="K19" s="24"/>
      <c r="L19" s="34" t="str">
        <f ca="1">IFERROR(INDEX(TENANTS!R$4:R$52,MATCH(SMALL(IF((TENANTS!Q$4:Q$52&gt;=0)*(TENANTS!Q$4:Q$52&lt;=90),TENANTS!Q$4:Q$52),7),TENANTS!Q$4:Q$52,0)),"—")</f>
        <v>—</v>
      </c>
      <c r="M19" s="24"/>
      <c r="N19" s="24"/>
    </row>
    <row r="20" spans="1:14" ht="18" customHeight="1" x14ac:dyDescent="0.2">
      <c r="A20" s="26" t="str">
        <f ca="1">IFERROR(INDEX(TENANTS!A$4:A$52,MATCH(SMALL(IF((TENANTS!Q$4:Q$52&gt;=0)*(TENANTS!Q$4:Q$52&lt;=90),TENANTS!Q$4:Q$52),8),TENANTS!Q$4:Q$52,0)),"—")</f>
        <v>—</v>
      </c>
      <c r="B20" s="24"/>
      <c r="C20" s="32" t="str">
        <f ca="1">IFERROR(INDEX(TENANTS!B$4:B$52,MATCH(SMALL(IF((TENANTS!Q$4:Q$52&gt;=0)*(TENANTS!Q$4:Q$52&lt;=90),TENANTS!Q$4:Q$52),8),TENANTS!Q$4:Q$52,0)),"—")</f>
        <v>—</v>
      </c>
      <c r="D20" s="24"/>
      <c r="E20" s="24"/>
      <c r="F20" s="26" t="str">
        <f ca="1">IFERROR(INDEX(TENANTS!F$4:F$52,MATCH(SMALL(IF((TENANTS!Q$4:Q$52&gt;=0)*(TENANTS!Q$4:Q$52&lt;=90),TENANTS!Q$4:Q$52),8),TENANTS!Q$4:Q$52,0)),"—")</f>
        <v>—</v>
      </c>
      <c r="G20" s="24"/>
      <c r="H20" s="55" t="str">
        <f ca="1">IFERROR(INDEX(TENANTS!J$4:J$52,MATCH(SMALL(IF((TENANTS!Q$4:Q$52&gt;=0)*(TENANTS!Q$4:Q$52&lt;=90),TENANTS!Q$4:Q$52),8),TENANTS!Q$4:Q$52,0)),"—")</f>
        <v>—</v>
      </c>
      <c r="I20" s="24"/>
      <c r="J20" s="49" t="str">
        <f ca="1">IFERROR(SMALL(IF((TENANTS!Q$4:Q$52&gt;=0)*(TENANTS!Q$4:Q$52&lt;=90),TENANTS!Q$4:Q$52),8),"—")</f>
        <v>—</v>
      </c>
      <c r="K20" s="24"/>
      <c r="L20" s="40" t="str">
        <f ca="1">IFERROR(INDEX(TENANTS!R$4:R$52,MATCH(SMALL(IF((TENANTS!Q$4:Q$52&gt;=0)*(TENANTS!Q$4:Q$52&lt;=90),TENANTS!Q$4:Q$52),8),TENANTS!Q$4:Q$52,0)),"—")</f>
        <v>—</v>
      </c>
      <c r="M20" s="24"/>
      <c r="N20" s="24"/>
    </row>
    <row r="21" spans="1:14" ht="18" customHeight="1" x14ac:dyDescent="0.2">
      <c r="A21" s="25" t="str">
        <f ca="1">IFERROR(INDEX(TENANTS!A$4:A$52,MATCH(SMALL(IF((TENANTS!Q$4:Q$52&gt;=0)*(TENANTS!Q$4:Q$52&lt;=90),TENANTS!Q$4:Q$52),9),TENANTS!Q$4:Q$52,0)),"—")</f>
        <v>—</v>
      </c>
      <c r="B21" s="24"/>
      <c r="C21" s="29" t="str">
        <f ca="1">IFERROR(INDEX(TENANTS!B$4:B$52,MATCH(SMALL(IF((TENANTS!Q$4:Q$52&gt;=0)*(TENANTS!Q$4:Q$52&lt;=90),TENANTS!Q$4:Q$52),9),TENANTS!Q$4:Q$52,0)),"—")</f>
        <v>—</v>
      </c>
      <c r="D21" s="24"/>
      <c r="E21" s="24"/>
      <c r="F21" s="25" t="str">
        <f ca="1">IFERROR(INDEX(TENANTS!F$4:F$52,MATCH(SMALL(IF((TENANTS!Q$4:Q$52&gt;=0)*(TENANTS!Q$4:Q$52&lt;=90),TENANTS!Q$4:Q$52),9),TENANTS!Q$4:Q$52,0)),"—")</f>
        <v>—</v>
      </c>
      <c r="G21" s="24"/>
      <c r="H21" s="33" t="str">
        <f ca="1">IFERROR(INDEX(TENANTS!J$4:J$52,MATCH(SMALL(IF((TENANTS!Q$4:Q$52&gt;=0)*(TENANTS!Q$4:Q$52&lt;=90),TENANTS!Q$4:Q$52),9),TENANTS!Q$4:Q$52,0)),"—")</f>
        <v>—</v>
      </c>
      <c r="I21" s="24"/>
      <c r="J21" s="27" t="str">
        <f ca="1">IFERROR(SMALL(IF((TENANTS!Q$4:Q$52&gt;=0)*(TENANTS!Q$4:Q$52&lt;=90),TENANTS!Q$4:Q$52),9),"—")</f>
        <v>—</v>
      </c>
      <c r="K21" s="24"/>
      <c r="L21" s="34" t="str">
        <f ca="1">IFERROR(INDEX(TENANTS!R$4:R$52,MATCH(SMALL(IF((TENANTS!Q$4:Q$52&gt;=0)*(TENANTS!Q$4:Q$52&lt;=90),TENANTS!Q$4:Q$52),9),TENANTS!Q$4:Q$52,0)),"—")</f>
        <v>—</v>
      </c>
      <c r="M21" s="24"/>
      <c r="N21" s="24"/>
    </row>
    <row r="22" spans="1:14" ht="18" customHeight="1" x14ac:dyDescent="0.2">
      <c r="A22" s="26" t="str">
        <f ca="1">IFERROR(INDEX(TENANTS!A$4:A$52,MATCH(SMALL(IF((TENANTS!Q$4:Q$52&gt;=0)*(TENANTS!Q$4:Q$52&lt;=90),TENANTS!Q$4:Q$52),10),TENANTS!Q$4:Q$52,0)),"—")</f>
        <v>—</v>
      </c>
      <c r="B22" s="24"/>
      <c r="C22" s="32" t="str">
        <f ca="1">IFERROR(INDEX(TENANTS!B$4:B$52,MATCH(SMALL(IF((TENANTS!Q$4:Q$52&gt;=0)*(TENANTS!Q$4:Q$52&lt;=90),TENANTS!Q$4:Q$52),10),TENANTS!Q$4:Q$52,0)),"—")</f>
        <v>—</v>
      </c>
      <c r="D22" s="24"/>
      <c r="E22" s="24"/>
      <c r="F22" s="26" t="str">
        <f ca="1">IFERROR(INDEX(TENANTS!F$4:F$52,MATCH(SMALL(IF((TENANTS!Q$4:Q$52&gt;=0)*(TENANTS!Q$4:Q$52&lt;=90),TENANTS!Q$4:Q$52),10),TENANTS!Q$4:Q$52,0)),"—")</f>
        <v>—</v>
      </c>
      <c r="G22" s="24"/>
      <c r="H22" s="55" t="str">
        <f ca="1">IFERROR(INDEX(TENANTS!J$4:J$52,MATCH(SMALL(IF((TENANTS!Q$4:Q$52&gt;=0)*(TENANTS!Q$4:Q$52&lt;=90),TENANTS!Q$4:Q$52),10),TENANTS!Q$4:Q$52,0)),"—")</f>
        <v>—</v>
      </c>
      <c r="I22" s="24"/>
      <c r="J22" s="49" t="str">
        <f ca="1">IFERROR(SMALL(IF((TENANTS!Q$4:Q$52&gt;=0)*(TENANTS!Q$4:Q$52&lt;=90),TENANTS!Q$4:Q$52),10),"—")</f>
        <v>—</v>
      </c>
      <c r="K22" s="24"/>
      <c r="L22" s="40" t="str">
        <f ca="1">IFERROR(INDEX(TENANTS!R$4:R$52,MATCH(SMALL(IF((TENANTS!Q$4:Q$52&gt;=0)*(TENANTS!Q$4:Q$52&lt;=90),TENANTS!Q$4:Q$52),10),TENANTS!Q$4:Q$52,0)),"—")</f>
        <v>—</v>
      </c>
      <c r="M22" s="24"/>
      <c r="N22" s="24"/>
    </row>
    <row r="24" spans="1:14" ht="22" customHeight="1" x14ac:dyDescent="0.2">
      <c r="A24" s="36" t="s">
        <v>23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</row>
    <row r="25" spans="1:14" ht="22" customHeight="1" x14ac:dyDescent="0.2">
      <c r="A25" s="70" t="s">
        <v>24</v>
      </c>
      <c r="B25" s="24"/>
      <c r="C25" s="71" t="s">
        <v>25</v>
      </c>
      <c r="D25" s="24"/>
      <c r="E25" s="51" t="s">
        <v>26</v>
      </c>
      <c r="F25" s="24"/>
      <c r="G25" s="52" t="s">
        <v>27</v>
      </c>
      <c r="H25" s="24"/>
      <c r="I25" s="30" t="s">
        <v>28</v>
      </c>
      <c r="J25" s="24"/>
      <c r="K25" s="35" t="s">
        <v>29</v>
      </c>
      <c r="L25" s="24"/>
    </row>
    <row r="26" spans="1:14" ht="22" customHeight="1" x14ac:dyDescent="0.2">
      <c r="A26" s="23">
        <f ca="1">COUNTIF(TENANTS!R$4:R$52,"Active")</f>
        <v>5</v>
      </c>
      <c r="B26" s="24"/>
      <c r="C26" s="54">
        <f ca="1">COUNTIF(TENANTS!R$4:R$52,"Active - Review")</f>
        <v>0</v>
      </c>
      <c r="D26" s="24"/>
      <c r="E26" s="72">
        <f ca="1">COUNTIF(TENANTS!R$4:R$52,"Expiring Soon")</f>
        <v>0</v>
      </c>
      <c r="F26" s="24"/>
      <c r="G26" s="73">
        <f ca="1">COUNTIF(TENANTS!R$4:R$52,"Expired")</f>
        <v>1</v>
      </c>
      <c r="H26" s="24"/>
      <c r="I26" s="53">
        <f ca="1">COUNTIF(TENANTS!R$4:R$52,"Terminated")</f>
        <v>0</v>
      </c>
      <c r="J26" s="24"/>
      <c r="K26" s="61">
        <f ca="1">COUNTIF(TENANTS!R$4:R$52,"Vacant")</f>
        <v>43</v>
      </c>
      <c r="L26" s="24"/>
    </row>
    <row r="27" spans="1:14" ht="22" customHeight="1" x14ac:dyDescent="0.2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</row>
    <row r="29" spans="1:14" ht="22" customHeight="1" x14ac:dyDescent="0.2">
      <c r="A29" s="62" t="s">
        <v>30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</row>
    <row r="30" spans="1:14" ht="28" customHeight="1" x14ac:dyDescent="0.2">
      <c r="A30" s="1" t="s">
        <v>31</v>
      </c>
      <c r="B30" s="58" t="s">
        <v>32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</row>
    <row r="31" spans="1:14" ht="28" customHeight="1" x14ac:dyDescent="0.2">
      <c r="A31" s="1" t="s">
        <v>33</v>
      </c>
      <c r="B31" s="31" t="s">
        <v>34</v>
      </c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</row>
    <row r="32" spans="1:14" ht="28" customHeight="1" x14ac:dyDescent="0.2">
      <c r="A32" s="1" t="s">
        <v>35</v>
      </c>
      <c r="B32" s="58" t="s">
        <v>36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</row>
    <row r="33" spans="1:14" ht="28" customHeight="1" x14ac:dyDescent="0.2">
      <c r="A33" s="1" t="s">
        <v>37</v>
      </c>
      <c r="B33" s="31" t="s">
        <v>38</v>
      </c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</row>
    <row r="34" spans="1:14" ht="28" customHeight="1" x14ac:dyDescent="0.2">
      <c r="A34" s="1" t="s">
        <v>39</v>
      </c>
      <c r="B34" s="58" t="s">
        <v>40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</row>
    <row r="35" spans="1:14" ht="28" customHeight="1" x14ac:dyDescent="0.2">
      <c r="A35" s="1" t="s">
        <v>41</v>
      </c>
      <c r="B35" s="31" t="s">
        <v>42</v>
      </c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</row>
  </sheetData>
  <mergeCells count="111"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9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5"/>
  <sheetViews>
    <sheetView showGridLines="0" workbookViewId="0">
      <selection activeCell="D10" sqref="D10:F10"/>
    </sheetView>
  </sheetViews>
  <sheetFormatPr baseColWidth="10" defaultColWidth="8.83203125" defaultRowHeight="15" x14ac:dyDescent="0.2"/>
  <cols>
    <col min="1" max="1" width="3" customWidth="1"/>
    <col min="2" max="2" width="25" customWidth="1"/>
    <col min="3" max="3" width="3" customWidth="1"/>
    <col min="4" max="4" width="22" customWidth="1"/>
    <col min="5" max="7" width="18" customWidth="1"/>
  </cols>
  <sheetData>
    <row r="1" spans="1:7" ht="17" x14ac:dyDescent="0.2">
      <c r="A1" s="78" t="s">
        <v>75</v>
      </c>
      <c r="B1" s="24"/>
      <c r="C1" s="24"/>
      <c r="D1" s="24"/>
      <c r="E1" s="24"/>
      <c r="F1" s="24"/>
      <c r="G1" s="24"/>
    </row>
    <row r="2" spans="1:7" ht="20" x14ac:dyDescent="0.2">
      <c r="A2" s="81" t="s">
        <v>76</v>
      </c>
      <c r="B2" s="24"/>
      <c r="C2" s="24"/>
      <c r="D2" s="24"/>
      <c r="E2" s="24"/>
      <c r="F2" s="24"/>
      <c r="G2" s="24"/>
    </row>
    <row r="3" spans="1:7" x14ac:dyDescent="0.2">
      <c r="A3" s="80" t="s">
        <v>77</v>
      </c>
      <c r="B3" s="24"/>
      <c r="C3" s="24"/>
      <c r="D3" s="24"/>
      <c r="E3" s="24"/>
      <c r="F3" s="24"/>
      <c r="G3" s="24"/>
    </row>
    <row r="6" spans="1:7" x14ac:dyDescent="0.2">
      <c r="B6" s="2" t="s">
        <v>17</v>
      </c>
      <c r="D6" s="76" t="s">
        <v>146</v>
      </c>
      <c r="E6" s="24"/>
      <c r="F6" s="24"/>
    </row>
    <row r="7" spans="1:7" x14ac:dyDescent="0.2">
      <c r="B7" s="2" t="s">
        <v>79</v>
      </c>
      <c r="D7" s="76"/>
      <c r="E7" s="24"/>
      <c r="F7" s="24"/>
    </row>
    <row r="8" spans="1:7" x14ac:dyDescent="0.2">
      <c r="B8" s="2" t="s">
        <v>80</v>
      </c>
      <c r="D8" s="76"/>
      <c r="E8" s="24"/>
      <c r="F8" s="24"/>
    </row>
    <row r="9" spans="1:7" x14ac:dyDescent="0.2">
      <c r="B9" s="2" t="s">
        <v>81</v>
      </c>
      <c r="D9" s="76"/>
      <c r="E9" s="24"/>
      <c r="F9" s="24"/>
    </row>
    <row r="10" spans="1:7" x14ac:dyDescent="0.2">
      <c r="B10" s="2" t="s">
        <v>82</v>
      </c>
      <c r="D10" s="76"/>
      <c r="E10" s="24"/>
      <c r="F10" s="24"/>
    </row>
    <row r="11" spans="1:7" x14ac:dyDescent="0.2">
      <c r="B11" s="2" t="s">
        <v>83</v>
      </c>
      <c r="D11" s="76"/>
      <c r="E11" s="24"/>
      <c r="F11" s="24"/>
    </row>
    <row r="12" spans="1:7" x14ac:dyDescent="0.2">
      <c r="B12" s="2" t="s">
        <v>84</v>
      </c>
      <c r="D12" s="76"/>
      <c r="E12" s="24"/>
      <c r="F12" s="24"/>
    </row>
    <row r="13" spans="1:7" x14ac:dyDescent="0.2">
      <c r="B13" s="2" t="s">
        <v>85</v>
      </c>
      <c r="D13" s="76"/>
      <c r="E13" s="24"/>
      <c r="F13" s="24"/>
    </row>
    <row r="14" spans="1:7" x14ac:dyDescent="0.2">
      <c r="B14" s="2" t="s">
        <v>86</v>
      </c>
      <c r="D14" s="76"/>
      <c r="E14" s="24"/>
      <c r="F14" s="24"/>
    </row>
    <row r="15" spans="1:7" x14ac:dyDescent="0.2">
      <c r="B15" s="2" t="s">
        <v>87</v>
      </c>
      <c r="D15" s="76"/>
      <c r="E15" s="24"/>
      <c r="F15" s="24"/>
    </row>
    <row r="16" spans="1:7" x14ac:dyDescent="0.2">
      <c r="B16" s="2" t="s">
        <v>88</v>
      </c>
      <c r="D16" s="76"/>
      <c r="E16" s="24"/>
      <c r="F16" s="24"/>
    </row>
    <row r="17" spans="2:6" x14ac:dyDescent="0.2">
      <c r="B17" s="2" t="s">
        <v>60</v>
      </c>
      <c r="D17" s="76"/>
      <c r="E17" s="24"/>
      <c r="F17" s="24"/>
    </row>
    <row r="18" spans="2:6" x14ac:dyDescent="0.2">
      <c r="B18" s="2" t="s">
        <v>89</v>
      </c>
      <c r="D18" s="76"/>
      <c r="E18" s="24"/>
      <c r="F18" s="24"/>
    </row>
    <row r="19" spans="2:6" x14ac:dyDescent="0.2">
      <c r="B19" s="2" t="s">
        <v>90</v>
      </c>
      <c r="D19" s="76"/>
      <c r="E19" s="24"/>
      <c r="F19" s="24"/>
    </row>
    <row r="20" spans="2:6" x14ac:dyDescent="0.2">
      <c r="B20" s="2" t="s">
        <v>91</v>
      </c>
      <c r="D20" s="76"/>
      <c r="E20" s="24"/>
      <c r="F20" s="24"/>
    </row>
    <row r="21" spans="2:6" x14ac:dyDescent="0.2">
      <c r="B21" s="2" t="s">
        <v>92</v>
      </c>
      <c r="D21" s="76"/>
      <c r="E21" s="24"/>
      <c r="F21" s="24"/>
    </row>
    <row r="22" spans="2:6" x14ac:dyDescent="0.2">
      <c r="B22" s="2" t="s">
        <v>93</v>
      </c>
      <c r="D22" s="76"/>
      <c r="E22" s="24"/>
      <c r="F22" s="24"/>
    </row>
    <row r="23" spans="2:6" x14ac:dyDescent="0.2">
      <c r="B23" s="2" t="s">
        <v>94</v>
      </c>
      <c r="D23" s="76"/>
      <c r="E23" s="24"/>
      <c r="F23" s="24"/>
    </row>
    <row r="24" spans="2:6" x14ac:dyDescent="0.2">
      <c r="B24" s="2" t="s">
        <v>95</v>
      </c>
      <c r="D24" s="76"/>
      <c r="E24" s="24"/>
      <c r="F24" s="24"/>
    </row>
    <row r="30" spans="2:6" x14ac:dyDescent="0.2">
      <c r="B30" s="79" t="s">
        <v>96</v>
      </c>
      <c r="C30" s="24"/>
      <c r="D30" s="24"/>
      <c r="E30" s="24"/>
      <c r="F30" s="24"/>
    </row>
    <row r="31" spans="2:6" x14ac:dyDescent="0.2">
      <c r="B31" s="75"/>
      <c r="C31" s="24"/>
      <c r="D31" s="24"/>
      <c r="E31" s="24"/>
      <c r="F31" s="24"/>
    </row>
    <row r="32" spans="2:6" x14ac:dyDescent="0.2">
      <c r="B32" s="24"/>
      <c r="C32" s="24"/>
      <c r="D32" s="24"/>
      <c r="E32" s="24"/>
      <c r="F32" s="24"/>
    </row>
    <row r="33" spans="1:7" x14ac:dyDescent="0.2">
      <c r="B33" s="24"/>
      <c r="C33" s="24"/>
      <c r="D33" s="24"/>
      <c r="E33" s="24"/>
      <c r="F33" s="24"/>
    </row>
    <row r="34" spans="1:7" x14ac:dyDescent="0.2">
      <c r="B34" s="24"/>
      <c r="C34" s="24"/>
      <c r="D34" s="24"/>
      <c r="E34" s="24"/>
      <c r="F34" s="24"/>
    </row>
    <row r="35" spans="1:7" x14ac:dyDescent="0.2">
      <c r="B35" s="24"/>
      <c r="C35" s="24"/>
      <c r="D35" s="24"/>
      <c r="E35" s="24"/>
      <c r="F35" s="24"/>
    </row>
    <row r="38" spans="1:7" x14ac:dyDescent="0.2">
      <c r="B38" s="24" t="s">
        <v>97</v>
      </c>
      <c r="C38" s="24"/>
      <c r="D38" s="24"/>
      <c r="E38" s="24" t="s">
        <v>98</v>
      </c>
      <c r="F38" s="24"/>
    </row>
    <row r="39" spans="1:7" x14ac:dyDescent="0.2">
      <c r="B39" s="3"/>
      <c r="E39" s="3"/>
    </row>
    <row r="42" spans="1:7" x14ac:dyDescent="0.2">
      <c r="A42" s="77" t="s">
        <v>99</v>
      </c>
      <c r="B42" s="24"/>
      <c r="C42" s="24"/>
      <c r="D42" s="24"/>
      <c r="E42" s="24"/>
      <c r="F42" s="24"/>
      <c r="G42" s="24"/>
    </row>
    <row r="44" spans="1:7" x14ac:dyDescent="0.2">
      <c r="D44" s="74" t="s">
        <v>100</v>
      </c>
      <c r="E44" s="24"/>
      <c r="F44" s="24"/>
    </row>
    <row r="45" spans="1:7" x14ac:dyDescent="0.2">
      <c r="D45" s="24"/>
      <c r="E45" s="24"/>
      <c r="F45" s="24"/>
    </row>
  </sheetData>
  <mergeCells count="28">
    <mergeCell ref="A1:G1"/>
    <mergeCell ref="D23:F23"/>
    <mergeCell ref="D20:F20"/>
    <mergeCell ref="D10:F10"/>
    <mergeCell ref="B30:F30"/>
    <mergeCell ref="D19:F19"/>
    <mergeCell ref="A3:G3"/>
    <mergeCell ref="D22:F22"/>
    <mergeCell ref="A2:G2"/>
    <mergeCell ref="D21:F21"/>
    <mergeCell ref="D6:F6"/>
    <mergeCell ref="D11:F11"/>
    <mergeCell ref="D7:F7"/>
    <mergeCell ref="D9:F9"/>
    <mergeCell ref="D8:F8"/>
    <mergeCell ref="B38:D38"/>
    <mergeCell ref="E38:F38"/>
    <mergeCell ref="D44:F45"/>
    <mergeCell ref="B31:F35"/>
    <mergeCell ref="D12:F12"/>
    <mergeCell ref="D18:F18"/>
    <mergeCell ref="D15:F15"/>
    <mergeCell ref="D24:F24"/>
    <mergeCell ref="D14:F14"/>
    <mergeCell ref="A42:G42"/>
    <mergeCell ref="D13:F13"/>
    <mergeCell ref="D17:F17"/>
    <mergeCell ref="D16:F16"/>
  </mergeCells>
  <dataValidations count="4">
    <dataValidation type="list" sqref="D12" xr:uid="{00000000-0002-0000-0200-000000000000}">
      <formula1>"Office,Shop,Apartment,Warehouse,Studio"</formula1>
    </dataValidation>
    <dataValidation type="list" sqref="D17" xr:uid="{00000000-0002-0000-0200-000001000000}">
      <formula1>"GHS,USD,EUR,GBP"</formula1>
    </dataValidation>
    <dataValidation type="list" sqref="D18" xr:uid="{00000000-0002-0000-0200-000002000000}">
      <formula1>"Monthly,Quarterly,Semi-Annual,Annual"</formula1>
    </dataValidation>
    <dataValidation type="list" sqref="D20" xr:uid="{00000000-0002-0000-0200-000003000000}">
      <formula1>"Cash,Bank Transfer,Mobile Money,Cheque"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V52"/>
  <sheetViews>
    <sheetView showGridLines="0" tabSelected="1" workbookViewId="0">
      <pane ySplit="3" topLeftCell="A4" activePane="bottomLeft" state="frozen"/>
      <selection pane="bottomLeft" activeCell="B10" sqref="B10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2" ht="32" customHeight="1" x14ac:dyDescent="0.2">
      <c r="A1" s="82" t="s">
        <v>101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</row>
    <row r="2" spans="1:22" ht="18" customHeight="1" x14ac:dyDescent="0.2">
      <c r="A2" s="80" t="s">
        <v>102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</row>
    <row r="3" spans="1:22" ht="22" customHeight="1" x14ac:dyDescent="0.2">
      <c r="A3" s="4" t="s">
        <v>17</v>
      </c>
      <c r="B3" s="4" t="s">
        <v>79</v>
      </c>
      <c r="C3" s="4" t="s">
        <v>80</v>
      </c>
      <c r="D3" s="4" t="s">
        <v>81</v>
      </c>
      <c r="E3" s="4" t="s">
        <v>82</v>
      </c>
      <c r="F3" s="4" t="s">
        <v>19</v>
      </c>
      <c r="G3" s="4" t="s">
        <v>84</v>
      </c>
      <c r="H3" s="4" t="s">
        <v>85</v>
      </c>
      <c r="I3" s="4" t="s">
        <v>86</v>
      </c>
      <c r="J3" s="4" t="s">
        <v>87</v>
      </c>
      <c r="K3" s="4" t="s">
        <v>103</v>
      </c>
      <c r="L3" s="4" t="s">
        <v>88</v>
      </c>
      <c r="M3" s="4" t="s">
        <v>60</v>
      </c>
      <c r="N3" s="4" t="s">
        <v>104</v>
      </c>
      <c r="O3" s="4" t="s">
        <v>90</v>
      </c>
      <c r="P3" s="4" t="s">
        <v>91</v>
      </c>
      <c r="Q3" s="4" t="s">
        <v>105</v>
      </c>
      <c r="R3" s="4" t="s">
        <v>22</v>
      </c>
      <c r="S3" s="4" t="s">
        <v>92</v>
      </c>
      <c r="T3" s="4" t="s">
        <v>93</v>
      </c>
      <c r="U3" s="4" t="s">
        <v>94</v>
      </c>
      <c r="V3" s="4" t="s">
        <v>95</v>
      </c>
    </row>
    <row r="4" spans="1:22" x14ac:dyDescent="0.2">
      <c r="A4" s="5" t="s">
        <v>78</v>
      </c>
      <c r="B4" s="5" t="s">
        <v>106</v>
      </c>
      <c r="C4" s="5" t="s">
        <v>107</v>
      </c>
      <c r="D4" s="5" t="s">
        <v>108</v>
      </c>
      <c r="E4" s="5" t="s">
        <v>109</v>
      </c>
      <c r="F4" s="5" t="s">
        <v>115</v>
      </c>
      <c r="G4" s="5" t="s">
        <v>47</v>
      </c>
      <c r="H4" s="5" t="s">
        <v>111</v>
      </c>
      <c r="I4" s="6" t="s">
        <v>112</v>
      </c>
      <c r="J4" s="6" t="s">
        <v>113</v>
      </c>
      <c r="K4" s="7">
        <f t="shared" ref="K4:K34" si="0">IFERROR(DATEDIF(I4,J4,"M"),"")</f>
        <v>11</v>
      </c>
      <c r="L4" s="8">
        <v>3500</v>
      </c>
      <c r="M4" s="5" t="s">
        <v>61</v>
      </c>
      <c r="N4" s="5" t="s">
        <v>56</v>
      </c>
      <c r="O4" s="8">
        <v>7000</v>
      </c>
      <c r="P4" s="5" t="s">
        <v>68</v>
      </c>
      <c r="Q4" s="9">
        <f t="shared" ref="Q4:Q34" ca="1" si="1">IFERROR(IF(J4="","",J4-TODAY()),"")</f>
        <v>-558</v>
      </c>
      <c r="R4" s="10" t="str">
        <f t="shared" ref="R4:R34" ca="1" si="2">IFERROR(IF(B4="","Vacant",IF(Q4&lt;0,"Expired",IF(Q4&lt;=30,"Expiring Soon",IF(Q4&lt;=90,"Active - Review","Active")))),"Vacant")</f>
        <v>Expired</v>
      </c>
      <c r="S4" s="5"/>
      <c r="T4" s="5"/>
      <c r="U4" s="5"/>
      <c r="V4" s="5"/>
    </row>
    <row r="5" spans="1:22" x14ac:dyDescent="0.2">
      <c r="A5" s="14" t="s">
        <v>78</v>
      </c>
      <c r="B5" s="14" t="s">
        <v>140</v>
      </c>
      <c r="C5" s="14">
        <v>1234</v>
      </c>
      <c r="D5" s="14" t="s">
        <v>141</v>
      </c>
      <c r="E5" s="14">
        <v>123</v>
      </c>
      <c r="F5" s="14"/>
      <c r="G5" s="14"/>
      <c r="H5" s="14"/>
      <c r="I5" s="15"/>
      <c r="J5" s="15"/>
      <c r="K5" s="7">
        <f t="shared" si="0"/>
        <v>0</v>
      </c>
      <c r="L5" s="16"/>
      <c r="M5" s="14"/>
      <c r="N5" s="14"/>
      <c r="O5" s="16"/>
      <c r="P5" s="14"/>
      <c r="Q5" s="9" t="str">
        <f t="shared" ca="1" si="1"/>
        <v/>
      </c>
      <c r="R5" s="10" t="str">
        <f t="shared" ca="1" si="2"/>
        <v>Active</v>
      </c>
      <c r="S5" s="14"/>
      <c r="T5" s="14"/>
      <c r="U5" s="14"/>
      <c r="V5" s="14"/>
    </row>
    <row r="6" spans="1:22" x14ac:dyDescent="0.2">
      <c r="A6" s="11" t="s">
        <v>142</v>
      </c>
      <c r="B6" s="11" t="s">
        <v>140</v>
      </c>
      <c r="C6" s="11">
        <v>1234</v>
      </c>
      <c r="D6" s="11" t="s">
        <v>141</v>
      </c>
      <c r="E6" s="11">
        <v>123</v>
      </c>
      <c r="F6" s="11"/>
      <c r="G6" s="11"/>
      <c r="H6" s="11"/>
      <c r="I6" s="12"/>
      <c r="J6" s="12"/>
      <c r="K6" s="7">
        <f t="shared" si="0"/>
        <v>0</v>
      </c>
      <c r="L6" s="13"/>
      <c r="M6" s="11"/>
      <c r="N6" s="11"/>
      <c r="O6" s="13"/>
      <c r="P6" s="11"/>
      <c r="Q6" s="9" t="str">
        <f t="shared" ca="1" si="1"/>
        <v/>
      </c>
      <c r="R6" s="10" t="str">
        <f t="shared" ca="1" si="2"/>
        <v>Active</v>
      </c>
      <c r="S6" s="11"/>
      <c r="T6" s="11"/>
      <c r="U6" s="11"/>
      <c r="V6" s="11"/>
    </row>
    <row r="7" spans="1:22" x14ac:dyDescent="0.2">
      <c r="A7" s="14" t="s">
        <v>143</v>
      </c>
      <c r="B7" s="14" t="s">
        <v>140</v>
      </c>
      <c r="C7" s="14">
        <v>1234</v>
      </c>
      <c r="D7" s="14" t="s">
        <v>141</v>
      </c>
      <c r="E7" s="14">
        <v>123</v>
      </c>
      <c r="F7" s="14"/>
      <c r="G7" s="14"/>
      <c r="H7" s="14"/>
      <c r="I7" s="15"/>
      <c r="J7" s="15"/>
      <c r="K7" s="7">
        <f t="shared" si="0"/>
        <v>0</v>
      </c>
      <c r="L7" s="16"/>
      <c r="M7" s="14"/>
      <c r="N7" s="14"/>
      <c r="O7" s="16"/>
      <c r="P7" s="14"/>
      <c r="Q7" s="9" t="str">
        <f t="shared" ca="1" si="1"/>
        <v/>
      </c>
      <c r="R7" s="10" t="str">
        <f t="shared" ca="1" si="2"/>
        <v>Active</v>
      </c>
      <c r="S7" s="14"/>
      <c r="T7" s="14"/>
      <c r="U7" s="14"/>
      <c r="V7" s="14"/>
    </row>
    <row r="8" spans="1:22" x14ac:dyDescent="0.2">
      <c r="A8" s="11" t="s">
        <v>144</v>
      </c>
      <c r="B8" s="11" t="s">
        <v>140</v>
      </c>
      <c r="C8" s="11">
        <v>1234</v>
      </c>
      <c r="D8" s="11" t="s">
        <v>141</v>
      </c>
      <c r="E8" s="11">
        <v>123</v>
      </c>
      <c r="F8" s="11"/>
      <c r="G8" s="11"/>
      <c r="H8" s="11"/>
      <c r="I8" s="12"/>
      <c r="J8" s="12"/>
      <c r="K8" s="7">
        <f t="shared" si="0"/>
        <v>0</v>
      </c>
      <c r="L8" s="13"/>
      <c r="M8" s="11"/>
      <c r="N8" s="11"/>
      <c r="O8" s="13"/>
      <c r="P8" s="11"/>
      <c r="Q8" s="9" t="str">
        <f t="shared" ca="1" si="1"/>
        <v/>
      </c>
      <c r="R8" s="10" t="str">
        <f t="shared" ca="1" si="2"/>
        <v>Active</v>
      </c>
      <c r="S8" s="11"/>
      <c r="T8" s="11"/>
      <c r="U8" s="11"/>
      <c r="V8" s="11"/>
    </row>
    <row r="9" spans="1:22" x14ac:dyDescent="0.2">
      <c r="A9" s="14" t="s">
        <v>145</v>
      </c>
      <c r="B9" s="14" t="s">
        <v>140</v>
      </c>
      <c r="C9" s="14">
        <v>1234</v>
      </c>
      <c r="D9" s="14" t="s">
        <v>141</v>
      </c>
      <c r="E9" s="14">
        <v>123</v>
      </c>
      <c r="F9" s="14"/>
      <c r="G9" s="14"/>
      <c r="H9" s="14"/>
      <c r="I9" s="15"/>
      <c r="J9" s="15"/>
      <c r="K9" s="7">
        <f t="shared" si="0"/>
        <v>0</v>
      </c>
      <c r="L9" s="16"/>
      <c r="M9" s="14"/>
      <c r="N9" s="14"/>
      <c r="O9" s="16"/>
      <c r="P9" s="14"/>
      <c r="Q9" s="9" t="str">
        <f t="shared" ca="1" si="1"/>
        <v/>
      </c>
      <c r="R9" s="10" t="str">
        <f t="shared" ca="1" si="2"/>
        <v>Active</v>
      </c>
      <c r="S9" s="14"/>
      <c r="T9" s="14"/>
      <c r="U9" s="14"/>
      <c r="V9" s="14"/>
    </row>
    <row r="10" spans="1:22" x14ac:dyDescent="0.2">
      <c r="A10" s="11"/>
      <c r="B10" s="11"/>
      <c r="C10" s="11"/>
      <c r="D10" s="11"/>
      <c r="E10" s="11"/>
      <c r="F10" s="11"/>
      <c r="G10" s="11"/>
      <c r="H10" s="11"/>
      <c r="I10" s="12"/>
      <c r="J10" s="12"/>
      <c r="K10" s="7">
        <f t="shared" si="0"/>
        <v>0</v>
      </c>
      <c r="L10" s="13"/>
      <c r="M10" s="11"/>
      <c r="N10" s="11"/>
      <c r="O10" s="13"/>
      <c r="P10" s="11"/>
      <c r="Q10" s="9" t="str">
        <f t="shared" ca="1" si="1"/>
        <v/>
      </c>
      <c r="R10" s="10" t="str">
        <f t="shared" si="2"/>
        <v>Vacant</v>
      </c>
      <c r="S10" s="11"/>
      <c r="T10" s="11"/>
      <c r="U10" s="11"/>
      <c r="V10" s="11"/>
    </row>
    <row r="11" spans="1:22" x14ac:dyDescent="0.2">
      <c r="A11" s="14"/>
      <c r="B11" s="14"/>
      <c r="C11" s="14"/>
      <c r="D11" s="14"/>
      <c r="E11" s="14"/>
      <c r="F11" s="14"/>
      <c r="G11" s="14"/>
      <c r="H11" s="14"/>
      <c r="I11" s="15"/>
      <c r="J11" s="15"/>
      <c r="K11" s="7">
        <f t="shared" si="0"/>
        <v>0</v>
      </c>
      <c r="L11" s="16"/>
      <c r="M11" s="14"/>
      <c r="N11" s="14"/>
      <c r="O11" s="16"/>
      <c r="P11" s="14"/>
      <c r="Q11" s="9" t="str">
        <f t="shared" ca="1" si="1"/>
        <v/>
      </c>
      <c r="R11" s="10" t="str">
        <f t="shared" si="2"/>
        <v>Vacant</v>
      </c>
      <c r="S11" s="14"/>
      <c r="T11" s="14"/>
      <c r="U11" s="14"/>
      <c r="V11" s="14"/>
    </row>
    <row r="12" spans="1:22" x14ac:dyDescent="0.2">
      <c r="A12" s="11"/>
      <c r="B12" s="11"/>
      <c r="C12" s="11"/>
      <c r="D12" s="11"/>
      <c r="E12" s="11"/>
      <c r="F12" s="11"/>
      <c r="G12" s="11"/>
      <c r="H12" s="11"/>
      <c r="I12" s="12"/>
      <c r="J12" s="12"/>
      <c r="K12" s="7">
        <f t="shared" si="0"/>
        <v>0</v>
      </c>
      <c r="L12" s="13"/>
      <c r="M12" s="11"/>
      <c r="N12" s="11"/>
      <c r="O12" s="13"/>
      <c r="P12" s="11"/>
      <c r="Q12" s="9" t="str">
        <f t="shared" ca="1" si="1"/>
        <v/>
      </c>
      <c r="R12" s="10" t="str">
        <f t="shared" si="2"/>
        <v>Vacant</v>
      </c>
      <c r="S12" s="11"/>
      <c r="T12" s="11"/>
      <c r="U12" s="11"/>
      <c r="V12" s="11"/>
    </row>
    <row r="13" spans="1:22" x14ac:dyDescent="0.2">
      <c r="A13" s="14"/>
      <c r="B13" s="14"/>
      <c r="C13" s="14"/>
      <c r="D13" s="14"/>
      <c r="E13" s="14"/>
      <c r="F13" s="14"/>
      <c r="G13" s="14"/>
      <c r="H13" s="14"/>
      <c r="I13" s="15"/>
      <c r="J13" s="15"/>
      <c r="K13" s="7">
        <f t="shared" si="0"/>
        <v>0</v>
      </c>
      <c r="L13" s="16"/>
      <c r="M13" s="14"/>
      <c r="N13" s="14"/>
      <c r="O13" s="16"/>
      <c r="P13" s="14"/>
      <c r="Q13" s="9" t="str">
        <f t="shared" ca="1" si="1"/>
        <v/>
      </c>
      <c r="R13" s="10" t="str">
        <f t="shared" si="2"/>
        <v>Vacant</v>
      </c>
      <c r="S13" s="14"/>
      <c r="T13" s="14"/>
      <c r="U13" s="14"/>
      <c r="V13" s="14"/>
    </row>
    <row r="14" spans="1:22" x14ac:dyDescent="0.2">
      <c r="A14" s="11"/>
      <c r="B14" s="11"/>
      <c r="C14" s="11"/>
      <c r="D14" s="11"/>
      <c r="E14" s="11"/>
      <c r="F14" s="11"/>
      <c r="G14" s="11"/>
      <c r="H14" s="11"/>
      <c r="I14" s="12"/>
      <c r="J14" s="12"/>
      <c r="K14" s="7">
        <f t="shared" si="0"/>
        <v>0</v>
      </c>
      <c r="L14" s="13"/>
      <c r="M14" s="11"/>
      <c r="N14" s="11"/>
      <c r="O14" s="13"/>
      <c r="P14" s="11"/>
      <c r="Q14" s="9" t="str">
        <f t="shared" ca="1" si="1"/>
        <v/>
      </c>
      <c r="R14" s="10" t="str">
        <f t="shared" si="2"/>
        <v>Vacant</v>
      </c>
      <c r="S14" s="11"/>
      <c r="T14" s="11"/>
      <c r="U14" s="11"/>
      <c r="V14" s="11"/>
    </row>
    <row r="15" spans="1:22" x14ac:dyDescent="0.2">
      <c r="A15" s="14"/>
      <c r="B15" s="14"/>
      <c r="C15" s="14"/>
      <c r="D15" s="14"/>
      <c r="E15" s="14"/>
      <c r="F15" s="14"/>
      <c r="G15" s="14"/>
      <c r="H15" s="14"/>
      <c r="I15" s="15"/>
      <c r="J15" s="15"/>
      <c r="K15" s="7">
        <f t="shared" si="0"/>
        <v>0</v>
      </c>
      <c r="L15" s="16"/>
      <c r="M15" s="14"/>
      <c r="N15" s="14"/>
      <c r="O15" s="16"/>
      <c r="P15" s="14"/>
      <c r="Q15" s="9" t="str">
        <f t="shared" ca="1" si="1"/>
        <v/>
      </c>
      <c r="R15" s="10" t="str">
        <f t="shared" si="2"/>
        <v>Vacant</v>
      </c>
      <c r="S15" s="14"/>
      <c r="T15" s="14"/>
      <c r="U15" s="14"/>
      <c r="V15" s="14"/>
    </row>
    <row r="16" spans="1:22" x14ac:dyDescent="0.2">
      <c r="A16" s="11"/>
      <c r="B16" s="11"/>
      <c r="C16" s="11"/>
      <c r="D16" s="11"/>
      <c r="E16" s="11"/>
      <c r="F16" s="11"/>
      <c r="G16" s="11"/>
      <c r="H16" s="11"/>
      <c r="I16" s="12"/>
      <c r="J16" s="12"/>
      <c r="K16" s="7">
        <f t="shared" si="0"/>
        <v>0</v>
      </c>
      <c r="L16" s="13"/>
      <c r="M16" s="11"/>
      <c r="N16" s="11"/>
      <c r="O16" s="13"/>
      <c r="P16" s="11"/>
      <c r="Q16" s="9" t="str">
        <f t="shared" ca="1" si="1"/>
        <v/>
      </c>
      <c r="R16" s="10" t="str">
        <f t="shared" si="2"/>
        <v>Vacant</v>
      </c>
      <c r="S16" s="11"/>
      <c r="T16" s="11"/>
      <c r="U16" s="11"/>
      <c r="V16" s="11"/>
    </row>
    <row r="17" spans="1:22" x14ac:dyDescent="0.2">
      <c r="A17" s="14"/>
      <c r="B17" s="14"/>
      <c r="C17" s="14"/>
      <c r="D17" s="14"/>
      <c r="E17" s="14"/>
      <c r="F17" s="14"/>
      <c r="G17" s="14"/>
      <c r="H17" s="14"/>
      <c r="I17" s="15"/>
      <c r="J17" s="15"/>
      <c r="K17" s="7">
        <f t="shared" si="0"/>
        <v>0</v>
      </c>
      <c r="L17" s="16"/>
      <c r="M17" s="14"/>
      <c r="N17" s="14"/>
      <c r="O17" s="16"/>
      <c r="P17" s="14"/>
      <c r="Q17" s="9" t="str">
        <f t="shared" ca="1" si="1"/>
        <v/>
      </c>
      <c r="R17" s="10" t="str">
        <f t="shared" si="2"/>
        <v>Vacant</v>
      </c>
      <c r="S17" s="14"/>
      <c r="T17" s="14"/>
      <c r="U17" s="14"/>
      <c r="V17" s="14"/>
    </row>
    <row r="18" spans="1:22" x14ac:dyDescent="0.2">
      <c r="A18" s="11"/>
      <c r="B18" s="11"/>
      <c r="C18" s="11"/>
      <c r="D18" s="11"/>
      <c r="E18" s="11"/>
      <c r="F18" s="11"/>
      <c r="G18" s="11"/>
      <c r="H18" s="11"/>
      <c r="I18" s="12"/>
      <c r="J18" s="12"/>
      <c r="K18" s="7">
        <f t="shared" si="0"/>
        <v>0</v>
      </c>
      <c r="L18" s="13"/>
      <c r="M18" s="11"/>
      <c r="N18" s="11"/>
      <c r="O18" s="13"/>
      <c r="P18" s="11"/>
      <c r="Q18" s="9" t="str">
        <f t="shared" ca="1" si="1"/>
        <v/>
      </c>
      <c r="R18" s="10" t="str">
        <f t="shared" si="2"/>
        <v>Vacant</v>
      </c>
      <c r="S18" s="11"/>
      <c r="T18" s="11"/>
      <c r="U18" s="11"/>
      <c r="V18" s="11"/>
    </row>
    <row r="19" spans="1:22" x14ac:dyDescent="0.2">
      <c r="A19" s="14"/>
      <c r="B19" s="14"/>
      <c r="C19" s="14"/>
      <c r="D19" s="14"/>
      <c r="E19" s="14"/>
      <c r="F19" s="14"/>
      <c r="G19" s="14"/>
      <c r="H19" s="14"/>
      <c r="I19" s="15"/>
      <c r="J19" s="15"/>
      <c r="K19" s="7">
        <f t="shared" si="0"/>
        <v>0</v>
      </c>
      <c r="L19" s="16"/>
      <c r="M19" s="14"/>
      <c r="N19" s="14"/>
      <c r="O19" s="16"/>
      <c r="P19" s="14"/>
      <c r="Q19" s="9" t="str">
        <f t="shared" ca="1" si="1"/>
        <v/>
      </c>
      <c r="R19" s="10" t="str">
        <f t="shared" si="2"/>
        <v>Vacant</v>
      </c>
      <c r="S19" s="14"/>
      <c r="T19" s="14"/>
      <c r="U19" s="14"/>
      <c r="V19" s="14"/>
    </row>
    <row r="20" spans="1:22" x14ac:dyDescent="0.2">
      <c r="A20" s="11"/>
      <c r="B20" s="11"/>
      <c r="C20" s="11"/>
      <c r="D20" s="11"/>
      <c r="E20" s="11"/>
      <c r="F20" s="11"/>
      <c r="G20" s="11"/>
      <c r="H20" s="11"/>
      <c r="I20" s="12"/>
      <c r="J20" s="12"/>
      <c r="K20" s="7">
        <f t="shared" si="0"/>
        <v>0</v>
      </c>
      <c r="L20" s="13"/>
      <c r="M20" s="11"/>
      <c r="N20" s="11"/>
      <c r="O20" s="13"/>
      <c r="P20" s="11"/>
      <c r="Q20" s="9" t="str">
        <f t="shared" ca="1" si="1"/>
        <v/>
      </c>
      <c r="R20" s="10" t="str">
        <f t="shared" si="2"/>
        <v>Vacant</v>
      </c>
      <c r="S20" s="11"/>
      <c r="T20" s="11"/>
      <c r="U20" s="11"/>
      <c r="V20" s="11"/>
    </row>
    <row r="21" spans="1:22" x14ac:dyDescent="0.2">
      <c r="A21" s="14"/>
      <c r="B21" s="14"/>
      <c r="C21" s="14"/>
      <c r="D21" s="14"/>
      <c r="E21" s="14"/>
      <c r="F21" s="14"/>
      <c r="G21" s="14"/>
      <c r="H21" s="14"/>
      <c r="I21" s="15"/>
      <c r="J21" s="15"/>
      <c r="K21" s="7">
        <f t="shared" si="0"/>
        <v>0</v>
      </c>
      <c r="L21" s="16"/>
      <c r="M21" s="14"/>
      <c r="N21" s="14"/>
      <c r="O21" s="16"/>
      <c r="P21" s="14"/>
      <c r="Q21" s="9" t="str">
        <f t="shared" ca="1" si="1"/>
        <v/>
      </c>
      <c r="R21" s="10" t="str">
        <f t="shared" si="2"/>
        <v>Vacant</v>
      </c>
      <c r="S21" s="14"/>
      <c r="T21" s="14"/>
      <c r="U21" s="14"/>
      <c r="V21" s="14"/>
    </row>
    <row r="22" spans="1:22" x14ac:dyDescent="0.2">
      <c r="A22" s="11"/>
      <c r="B22" s="11"/>
      <c r="C22" s="11"/>
      <c r="D22" s="11"/>
      <c r="E22" s="11"/>
      <c r="F22" s="11"/>
      <c r="G22" s="11"/>
      <c r="H22" s="11"/>
      <c r="I22" s="12"/>
      <c r="J22" s="12"/>
      <c r="K22" s="7">
        <f t="shared" si="0"/>
        <v>0</v>
      </c>
      <c r="L22" s="13"/>
      <c r="M22" s="11"/>
      <c r="N22" s="11"/>
      <c r="O22" s="13"/>
      <c r="P22" s="11"/>
      <c r="Q22" s="9" t="str">
        <f t="shared" ca="1" si="1"/>
        <v/>
      </c>
      <c r="R22" s="10" t="str">
        <f t="shared" si="2"/>
        <v>Vacant</v>
      </c>
      <c r="S22" s="11"/>
      <c r="T22" s="11"/>
      <c r="U22" s="11"/>
      <c r="V22" s="11"/>
    </row>
    <row r="23" spans="1:22" x14ac:dyDescent="0.2">
      <c r="A23" s="14"/>
      <c r="B23" s="14"/>
      <c r="C23" s="14"/>
      <c r="D23" s="14"/>
      <c r="E23" s="14"/>
      <c r="F23" s="14"/>
      <c r="G23" s="14"/>
      <c r="H23" s="14"/>
      <c r="I23" s="15"/>
      <c r="J23" s="15"/>
      <c r="K23" s="7">
        <f t="shared" si="0"/>
        <v>0</v>
      </c>
      <c r="L23" s="16"/>
      <c r="M23" s="14"/>
      <c r="N23" s="14"/>
      <c r="O23" s="16"/>
      <c r="P23" s="14"/>
      <c r="Q23" s="9" t="str">
        <f t="shared" ca="1" si="1"/>
        <v/>
      </c>
      <c r="R23" s="10" t="str">
        <f t="shared" si="2"/>
        <v>Vacant</v>
      </c>
      <c r="S23" s="14"/>
      <c r="T23" s="14"/>
      <c r="U23" s="14"/>
      <c r="V23" s="14"/>
    </row>
    <row r="24" spans="1:22" x14ac:dyDescent="0.2">
      <c r="A24" s="11"/>
      <c r="B24" s="11"/>
      <c r="C24" s="11"/>
      <c r="D24" s="11"/>
      <c r="E24" s="11"/>
      <c r="F24" s="11"/>
      <c r="G24" s="11"/>
      <c r="H24" s="11"/>
      <c r="I24" s="12"/>
      <c r="J24" s="12"/>
      <c r="K24" s="7">
        <f t="shared" si="0"/>
        <v>0</v>
      </c>
      <c r="L24" s="13"/>
      <c r="M24" s="11"/>
      <c r="N24" s="11"/>
      <c r="O24" s="13"/>
      <c r="P24" s="11"/>
      <c r="Q24" s="9" t="str">
        <f t="shared" ca="1" si="1"/>
        <v/>
      </c>
      <c r="R24" s="10" t="str">
        <f t="shared" si="2"/>
        <v>Vacant</v>
      </c>
      <c r="S24" s="11"/>
      <c r="T24" s="11"/>
      <c r="U24" s="11"/>
      <c r="V24" s="11"/>
    </row>
    <row r="25" spans="1:22" x14ac:dyDescent="0.2">
      <c r="A25" s="14"/>
      <c r="B25" s="14"/>
      <c r="C25" s="14"/>
      <c r="D25" s="14"/>
      <c r="E25" s="14"/>
      <c r="F25" s="14"/>
      <c r="G25" s="14"/>
      <c r="H25" s="14"/>
      <c r="I25" s="15"/>
      <c r="J25" s="15"/>
      <c r="K25" s="7">
        <f t="shared" si="0"/>
        <v>0</v>
      </c>
      <c r="L25" s="16"/>
      <c r="M25" s="14"/>
      <c r="N25" s="14"/>
      <c r="O25" s="16"/>
      <c r="P25" s="14"/>
      <c r="Q25" s="9" t="str">
        <f t="shared" ca="1" si="1"/>
        <v/>
      </c>
      <c r="R25" s="10" t="str">
        <f t="shared" si="2"/>
        <v>Vacant</v>
      </c>
      <c r="S25" s="14"/>
      <c r="T25" s="14"/>
      <c r="U25" s="14"/>
      <c r="V25" s="14"/>
    </row>
    <row r="26" spans="1:22" x14ac:dyDescent="0.2">
      <c r="A26" s="11"/>
      <c r="B26" s="11"/>
      <c r="C26" s="11"/>
      <c r="D26" s="11"/>
      <c r="E26" s="11"/>
      <c r="F26" s="11"/>
      <c r="G26" s="11"/>
      <c r="H26" s="11"/>
      <c r="I26" s="12"/>
      <c r="J26" s="12"/>
      <c r="K26" s="7">
        <f t="shared" si="0"/>
        <v>0</v>
      </c>
      <c r="L26" s="13"/>
      <c r="M26" s="11"/>
      <c r="N26" s="11"/>
      <c r="O26" s="13"/>
      <c r="P26" s="11"/>
      <c r="Q26" s="9" t="str">
        <f t="shared" ca="1" si="1"/>
        <v/>
      </c>
      <c r="R26" s="10" t="str">
        <f t="shared" si="2"/>
        <v>Vacant</v>
      </c>
      <c r="S26" s="11"/>
      <c r="T26" s="11"/>
      <c r="U26" s="11"/>
      <c r="V26" s="11"/>
    </row>
    <row r="27" spans="1:22" x14ac:dyDescent="0.2">
      <c r="A27" s="14"/>
      <c r="B27" s="14"/>
      <c r="C27" s="14"/>
      <c r="D27" s="14"/>
      <c r="E27" s="14"/>
      <c r="F27" s="14"/>
      <c r="G27" s="14"/>
      <c r="H27" s="14"/>
      <c r="I27" s="15"/>
      <c r="J27" s="15"/>
      <c r="K27" s="7">
        <f t="shared" si="0"/>
        <v>0</v>
      </c>
      <c r="L27" s="16"/>
      <c r="M27" s="14"/>
      <c r="N27" s="14"/>
      <c r="O27" s="16"/>
      <c r="P27" s="14"/>
      <c r="Q27" s="9" t="str">
        <f t="shared" ca="1" si="1"/>
        <v/>
      </c>
      <c r="R27" s="10" t="str">
        <f t="shared" si="2"/>
        <v>Vacant</v>
      </c>
      <c r="S27" s="14"/>
      <c r="T27" s="14"/>
      <c r="U27" s="14"/>
      <c r="V27" s="14"/>
    </row>
    <row r="28" spans="1:22" x14ac:dyDescent="0.2">
      <c r="A28" s="11"/>
      <c r="B28" s="11"/>
      <c r="C28" s="11"/>
      <c r="D28" s="11"/>
      <c r="E28" s="11"/>
      <c r="F28" s="11"/>
      <c r="G28" s="11"/>
      <c r="H28" s="11"/>
      <c r="I28" s="12"/>
      <c r="J28" s="12"/>
      <c r="K28" s="7">
        <f t="shared" si="0"/>
        <v>0</v>
      </c>
      <c r="L28" s="13"/>
      <c r="M28" s="11"/>
      <c r="N28" s="11"/>
      <c r="O28" s="13"/>
      <c r="P28" s="11"/>
      <c r="Q28" s="9" t="str">
        <f t="shared" ca="1" si="1"/>
        <v/>
      </c>
      <c r="R28" s="10" t="str">
        <f t="shared" si="2"/>
        <v>Vacant</v>
      </c>
      <c r="S28" s="11"/>
      <c r="T28" s="11"/>
      <c r="U28" s="11"/>
      <c r="V28" s="11"/>
    </row>
    <row r="29" spans="1:22" x14ac:dyDescent="0.2">
      <c r="A29" s="14"/>
      <c r="B29" s="14"/>
      <c r="C29" s="14"/>
      <c r="D29" s="14"/>
      <c r="E29" s="14"/>
      <c r="F29" s="14"/>
      <c r="G29" s="14"/>
      <c r="H29" s="14"/>
      <c r="I29" s="15"/>
      <c r="J29" s="15"/>
      <c r="K29" s="7">
        <f t="shared" si="0"/>
        <v>0</v>
      </c>
      <c r="L29" s="16"/>
      <c r="M29" s="14"/>
      <c r="N29" s="14"/>
      <c r="O29" s="16"/>
      <c r="P29" s="14"/>
      <c r="Q29" s="9" t="str">
        <f t="shared" ca="1" si="1"/>
        <v/>
      </c>
      <c r="R29" s="10" t="str">
        <f t="shared" si="2"/>
        <v>Vacant</v>
      </c>
      <c r="S29" s="14"/>
      <c r="T29" s="14"/>
      <c r="U29" s="14"/>
      <c r="V29" s="14"/>
    </row>
    <row r="30" spans="1:22" x14ac:dyDescent="0.2">
      <c r="A30" s="11"/>
      <c r="B30" s="11"/>
      <c r="C30" s="11"/>
      <c r="D30" s="11"/>
      <c r="E30" s="11"/>
      <c r="F30" s="11"/>
      <c r="G30" s="11"/>
      <c r="H30" s="11"/>
      <c r="I30" s="12"/>
      <c r="J30" s="12"/>
      <c r="K30" s="7">
        <f t="shared" si="0"/>
        <v>0</v>
      </c>
      <c r="L30" s="13"/>
      <c r="M30" s="11"/>
      <c r="N30" s="11"/>
      <c r="O30" s="13"/>
      <c r="P30" s="11"/>
      <c r="Q30" s="9" t="str">
        <f t="shared" ca="1" si="1"/>
        <v/>
      </c>
      <c r="R30" s="10" t="str">
        <f t="shared" si="2"/>
        <v>Vacant</v>
      </c>
      <c r="S30" s="11"/>
      <c r="T30" s="11"/>
      <c r="U30" s="11"/>
      <c r="V30" s="11"/>
    </row>
    <row r="31" spans="1:22" x14ac:dyDescent="0.2">
      <c r="A31" s="14"/>
      <c r="B31" s="14"/>
      <c r="C31" s="14"/>
      <c r="D31" s="14"/>
      <c r="E31" s="14"/>
      <c r="F31" s="14"/>
      <c r="G31" s="14"/>
      <c r="H31" s="14"/>
      <c r="I31" s="15"/>
      <c r="J31" s="15"/>
      <c r="K31" s="7">
        <f t="shared" si="0"/>
        <v>0</v>
      </c>
      <c r="L31" s="16"/>
      <c r="M31" s="14"/>
      <c r="N31" s="14"/>
      <c r="O31" s="16"/>
      <c r="P31" s="14"/>
      <c r="Q31" s="9" t="str">
        <f t="shared" ca="1" si="1"/>
        <v/>
      </c>
      <c r="R31" s="10" t="str">
        <f t="shared" si="2"/>
        <v>Vacant</v>
      </c>
      <c r="S31" s="14"/>
      <c r="T31" s="14"/>
      <c r="U31" s="14"/>
      <c r="V31" s="14"/>
    </row>
    <row r="32" spans="1:22" x14ac:dyDescent="0.2">
      <c r="A32" s="11"/>
      <c r="B32" s="11"/>
      <c r="C32" s="11"/>
      <c r="D32" s="11"/>
      <c r="E32" s="11"/>
      <c r="F32" s="11"/>
      <c r="G32" s="11"/>
      <c r="H32" s="11"/>
      <c r="I32" s="12"/>
      <c r="J32" s="12"/>
      <c r="K32" s="7">
        <f t="shared" si="0"/>
        <v>0</v>
      </c>
      <c r="L32" s="13"/>
      <c r="M32" s="11"/>
      <c r="N32" s="11"/>
      <c r="O32" s="13"/>
      <c r="P32" s="11"/>
      <c r="Q32" s="9" t="str">
        <f t="shared" ca="1" si="1"/>
        <v/>
      </c>
      <c r="R32" s="10" t="str">
        <f t="shared" si="2"/>
        <v>Vacant</v>
      </c>
      <c r="S32" s="11"/>
      <c r="T32" s="11"/>
      <c r="U32" s="11"/>
      <c r="V32" s="11"/>
    </row>
    <row r="33" spans="1:22" x14ac:dyDescent="0.2">
      <c r="A33" s="14"/>
      <c r="B33" s="14"/>
      <c r="C33" s="14"/>
      <c r="D33" s="14"/>
      <c r="E33" s="14"/>
      <c r="F33" s="14"/>
      <c r="G33" s="14"/>
      <c r="H33" s="14"/>
      <c r="I33" s="15"/>
      <c r="J33" s="15"/>
      <c r="K33" s="7">
        <f t="shared" si="0"/>
        <v>0</v>
      </c>
      <c r="L33" s="16"/>
      <c r="M33" s="14"/>
      <c r="N33" s="14"/>
      <c r="O33" s="16"/>
      <c r="P33" s="14"/>
      <c r="Q33" s="9" t="str">
        <f t="shared" ca="1" si="1"/>
        <v/>
      </c>
      <c r="R33" s="10" t="str">
        <f t="shared" si="2"/>
        <v>Vacant</v>
      </c>
      <c r="S33" s="14"/>
      <c r="T33" s="14"/>
      <c r="U33" s="14"/>
      <c r="V33" s="14"/>
    </row>
    <row r="34" spans="1:22" x14ac:dyDescent="0.2">
      <c r="A34" s="11"/>
      <c r="B34" s="11"/>
      <c r="C34" s="11"/>
      <c r="D34" s="11"/>
      <c r="E34" s="11"/>
      <c r="F34" s="11"/>
      <c r="G34" s="11"/>
      <c r="H34" s="11"/>
      <c r="I34" s="12"/>
      <c r="J34" s="12"/>
      <c r="K34" s="7">
        <f t="shared" si="0"/>
        <v>0</v>
      </c>
      <c r="L34" s="13"/>
      <c r="M34" s="11"/>
      <c r="N34" s="11"/>
      <c r="O34" s="13"/>
      <c r="P34" s="11"/>
      <c r="Q34" s="9" t="str">
        <f t="shared" ca="1" si="1"/>
        <v/>
      </c>
      <c r="R34" s="10" t="str">
        <f t="shared" si="2"/>
        <v>Vacant</v>
      </c>
      <c r="S34" s="11"/>
      <c r="T34" s="11"/>
      <c r="U34" s="11"/>
      <c r="V34" s="11"/>
    </row>
    <row r="35" spans="1:22" x14ac:dyDescent="0.2">
      <c r="A35" s="14"/>
      <c r="B35" s="14"/>
      <c r="C35" s="14"/>
      <c r="D35" s="14"/>
      <c r="E35" s="14"/>
      <c r="F35" s="14"/>
      <c r="G35" s="14"/>
      <c r="H35" s="14"/>
      <c r="I35" s="15"/>
      <c r="J35" s="15"/>
      <c r="K35" s="7">
        <f t="shared" ref="K35:K52" si="3">IFERROR(DATEDIF(I35,J35,"M"),"")</f>
        <v>0</v>
      </c>
      <c r="L35" s="16"/>
      <c r="M35" s="14"/>
      <c r="N35" s="14"/>
      <c r="O35" s="16"/>
      <c r="P35" s="14"/>
      <c r="Q35" s="9" t="str">
        <f t="shared" ref="Q35:Q52" ca="1" si="4">IFERROR(IF(J35="","",J35-TODAY()),"")</f>
        <v/>
      </c>
      <c r="R35" s="10" t="str">
        <f t="shared" ref="R35:R52" si="5">IFERROR(IF(B35="","Vacant",IF(Q35&lt;0,"Expired",IF(Q35&lt;=30,"Expiring Soon",IF(Q35&lt;=90,"Active - Review","Active")))),"Vacant")</f>
        <v>Vacant</v>
      </c>
      <c r="S35" s="14"/>
      <c r="T35" s="14"/>
      <c r="U35" s="14"/>
      <c r="V35" s="14"/>
    </row>
    <row r="36" spans="1:22" x14ac:dyDescent="0.2">
      <c r="A36" s="11"/>
      <c r="B36" s="11"/>
      <c r="C36" s="11"/>
      <c r="D36" s="11"/>
      <c r="E36" s="11"/>
      <c r="F36" s="11"/>
      <c r="G36" s="11"/>
      <c r="H36" s="11"/>
      <c r="I36" s="12"/>
      <c r="J36" s="12"/>
      <c r="K36" s="7">
        <f t="shared" si="3"/>
        <v>0</v>
      </c>
      <c r="L36" s="13"/>
      <c r="M36" s="11"/>
      <c r="N36" s="11"/>
      <c r="O36" s="13"/>
      <c r="P36" s="11"/>
      <c r="Q36" s="9" t="str">
        <f t="shared" ca="1" si="4"/>
        <v/>
      </c>
      <c r="R36" s="10" t="str">
        <f t="shared" si="5"/>
        <v>Vacant</v>
      </c>
      <c r="S36" s="11"/>
      <c r="T36" s="11"/>
      <c r="U36" s="11"/>
      <c r="V36" s="11"/>
    </row>
    <row r="37" spans="1:22" x14ac:dyDescent="0.2">
      <c r="A37" s="14"/>
      <c r="B37" s="14"/>
      <c r="C37" s="14"/>
      <c r="D37" s="14"/>
      <c r="E37" s="14"/>
      <c r="F37" s="14"/>
      <c r="G37" s="14"/>
      <c r="H37" s="14"/>
      <c r="I37" s="15"/>
      <c r="J37" s="15"/>
      <c r="K37" s="7">
        <f t="shared" si="3"/>
        <v>0</v>
      </c>
      <c r="L37" s="16"/>
      <c r="M37" s="14"/>
      <c r="N37" s="14"/>
      <c r="O37" s="16"/>
      <c r="P37" s="14"/>
      <c r="Q37" s="9" t="str">
        <f t="shared" ca="1" si="4"/>
        <v/>
      </c>
      <c r="R37" s="10" t="str">
        <f t="shared" si="5"/>
        <v>Vacant</v>
      </c>
      <c r="S37" s="14"/>
      <c r="T37" s="14"/>
      <c r="U37" s="14"/>
      <c r="V37" s="14"/>
    </row>
    <row r="38" spans="1:22" x14ac:dyDescent="0.2">
      <c r="A38" s="11"/>
      <c r="B38" s="11"/>
      <c r="C38" s="11"/>
      <c r="D38" s="11"/>
      <c r="E38" s="11"/>
      <c r="F38" s="11"/>
      <c r="G38" s="11"/>
      <c r="H38" s="11"/>
      <c r="I38" s="12"/>
      <c r="J38" s="12"/>
      <c r="K38" s="7">
        <f t="shared" si="3"/>
        <v>0</v>
      </c>
      <c r="L38" s="13"/>
      <c r="M38" s="11"/>
      <c r="N38" s="11"/>
      <c r="O38" s="13"/>
      <c r="P38" s="11"/>
      <c r="Q38" s="9" t="str">
        <f t="shared" ca="1" si="4"/>
        <v/>
      </c>
      <c r="R38" s="10" t="str">
        <f t="shared" si="5"/>
        <v>Vacant</v>
      </c>
      <c r="S38" s="11"/>
      <c r="T38" s="11"/>
      <c r="U38" s="11"/>
      <c r="V38" s="11"/>
    </row>
    <row r="39" spans="1:22" x14ac:dyDescent="0.2">
      <c r="A39" s="14"/>
      <c r="B39" s="14"/>
      <c r="C39" s="14"/>
      <c r="D39" s="14"/>
      <c r="E39" s="14"/>
      <c r="F39" s="14"/>
      <c r="G39" s="14"/>
      <c r="H39" s="14"/>
      <c r="I39" s="15"/>
      <c r="J39" s="15"/>
      <c r="K39" s="7">
        <f t="shared" si="3"/>
        <v>0</v>
      </c>
      <c r="L39" s="16"/>
      <c r="M39" s="14"/>
      <c r="N39" s="14"/>
      <c r="O39" s="16"/>
      <c r="P39" s="14"/>
      <c r="Q39" s="9" t="str">
        <f t="shared" ca="1" si="4"/>
        <v/>
      </c>
      <c r="R39" s="10" t="str">
        <f t="shared" si="5"/>
        <v>Vacant</v>
      </c>
      <c r="S39" s="14"/>
      <c r="T39" s="14"/>
      <c r="U39" s="14"/>
      <c r="V39" s="14"/>
    </row>
    <row r="40" spans="1:22" x14ac:dyDescent="0.2">
      <c r="A40" s="11"/>
      <c r="B40" s="11"/>
      <c r="C40" s="11"/>
      <c r="D40" s="11"/>
      <c r="E40" s="11"/>
      <c r="F40" s="11"/>
      <c r="G40" s="11"/>
      <c r="H40" s="11"/>
      <c r="I40" s="12"/>
      <c r="J40" s="12"/>
      <c r="K40" s="7">
        <f t="shared" si="3"/>
        <v>0</v>
      </c>
      <c r="L40" s="13"/>
      <c r="M40" s="11"/>
      <c r="N40" s="11"/>
      <c r="O40" s="13"/>
      <c r="P40" s="11"/>
      <c r="Q40" s="9" t="str">
        <f t="shared" ca="1" si="4"/>
        <v/>
      </c>
      <c r="R40" s="10" t="str">
        <f t="shared" si="5"/>
        <v>Vacant</v>
      </c>
      <c r="S40" s="11"/>
      <c r="T40" s="11"/>
      <c r="U40" s="11"/>
      <c r="V40" s="11"/>
    </row>
    <row r="41" spans="1:22" x14ac:dyDescent="0.2">
      <c r="A41" s="14"/>
      <c r="B41" s="14"/>
      <c r="C41" s="14"/>
      <c r="D41" s="14"/>
      <c r="E41" s="14"/>
      <c r="F41" s="14"/>
      <c r="G41" s="14"/>
      <c r="H41" s="14"/>
      <c r="I41" s="15"/>
      <c r="J41" s="15"/>
      <c r="K41" s="7">
        <f t="shared" si="3"/>
        <v>0</v>
      </c>
      <c r="L41" s="16"/>
      <c r="M41" s="14"/>
      <c r="N41" s="14"/>
      <c r="O41" s="16"/>
      <c r="P41" s="14"/>
      <c r="Q41" s="9" t="str">
        <f t="shared" ca="1" si="4"/>
        <v/>
      </c>
      <c r="R41" s="10" t="str">
        <f t="shared" si="5"/>
        <v>Vacant</v>
      </c>
      <c r="S41" s="14"/>
      <c r="T41" s="14"/>
      <c r="U41" s="14"/>
      <c r="V41" s="14"/>
    </row>
    <row r="42" spans="1:22" x14ac:dyDescent="0.2">
      <c r="A42" s="11"/>
      <c r="B42" s="11"/>
      <c r="C42" s="11"/>
      <c r="D42" s="11"/>
      <c r="E42" s="11"/>
      <c r="F42" s="11"/>
      <c r="G42" s="11"/>
      <c r="H42" s="11"/>
      <c r="I42" s="12"/>
      <c r="J42" s="12"/>
      <c r="K42" s="7">
        <f t="shared" si="3"/>
        <v>0</v>
      </c>
      <c r="L42" s="13"/>
      <c r="M42" s="11"/>
      <c r="N42" s="11"/>
      <c r="O42" s="13"/>
      <c r="P42" s="11"/>
      <c r="Q42" s="9" t="str">
        <f t="shared" ca="1" si="4"/>
        <v/>
      </c>
      <c r="R42" s="10" t="str">
        <f t="shared" si="5"/>
        <v>Vacant</v>
      </c>
      <c r="S42" s="11"/>
      <c r="T42" s="11"/>
      <c r="U42" s="11"/>
      <c r="V42" s="11"/>
    </row>
    <row r="43" spans="1:22" x14ac:dyDescent="0.2">
      <c r="A43" s="14"/>
      <c r="B43" s="14"/>
      <c r="C43" s="14"/>
      <c r="D43" s="14"/>
      <c r="E43" s="14"/>
      <c r="F43" s="14"/>
      <c r="G43" s="14"/>
      <c r="H43" s="14"/>
      <c r="I43" s="15"/>
      <c r="J43" s="15"/>
      <c r="K43" s="7">
        <f t="shared" si="3"/>
        <v>0</v>
      </c>
      <c r="L43" s="16"/>
      <c r="M43" s="14"/>
      <c r="N43" s="14"/>
      <c r="O43" s="16"/>
      <c r="P43" s="14"/>
      <c r="Q43" s="9" t="str">
        <f t="shared" ca="1" si="4"/>
        <v/>
      </c>
      <c r="R43" s="10" t="str">
        <f t="shared" si="5"/>
        <v>Vacant</v>
      </c>
      <c r="S43" s="14"/>
      <c r="T43" s="14"/>
      <c r="U43" s="14"/>
      <c r="V43" s="14"/>
    </row>
    <row r="44" spans="1:22" x14ac:dyDescent="0.2">
      <c r="A44" s="11"/>
      <c r="B44" s="11"/>
      <c r="C44" s="11"/>
      <c r="D44" s="11"/>
      <c r="E44" s="11"/>
      <c r="F44" s="11"/>
      <c r="G44" s="11"/>
      <c r="H44" s="11"/>
      <c r="I44" s="12"/>
      <c r="J44" s="12"/>
      <c r="K44" s="7">
        <f t="shared" si="3"/>
        <v>0</v>
      </c>
      <c r="L44" s="13"/>
      <c r="M44" s="11"/>
      <c r="N44" s="11"/>
      <c r="O44" s="13"/>
      <c r="P44" s="11"/>
      <c r="Q44" s="9" t="str">
        <f t="shared" ca="1" si="4"/>
        <v/>
      </c>
      <c r="R44" s="10" t="str">
        <f t="shared" si="5"/>
        <v>Vacant</v>
      </c>
      <c r="S44" s="11"/>
      <c r="T44" s="11"/>
      <c r="U44" s="11"/>
      <c r="V44" s="11"/>
    </row>
    <row r="45" spans="1:22" x14ac:dyDescent="0.2">
      <c r="A45" s="14"/>
      <c r="B45" s="14"/>
      <c r="C45" s="14"/>
      <c r="D45" s="14"/>
      <c r="E45" s="14"/>
      <c r="F45" s="14"/>
      <c r="G45" s="14"/>
      <c r="H45" s="14"/>
      <c r="I45" s="15"/>
      <c r="J45" s="15"/>
      <c r="K45" s="7">
        <f t="shared" si="3"/>
        <v>0</v>
      </c>
      <c r="L45" s="16"/>
      <c r="M45" s="14"/>
      <c r="N45" s="14"/>
      <c r="O45" s="16"/>
      <c r="P45" s="14"/>
      <c r="Q45" s="9" t="str">
        <f t="shared" ca="1" si="4"/>
        <v/>
      </c>
      <c r="R45" s="10" t="str">
        <f t="shared" si="5"/>
        <v>Vacant</v>
      </c>
      <c r="S45" s="14"/>
      <c r="T45" s="14"/>
      <c r="U45" s="14"/>
      <c r="V45" s="14"/>
    </row>
    <row r="46" spans="1:22" x14ac:dyDescent="0.2">
      <c r="A46" s="11"/>
      <c r="B46" s="11"/>
      <c r="C46" s="11"/>
      <c r="D46" s="11"/>
      <c r="E46" s="11"/>
      <c r="F46" s="11"/>
      <c r="G46" s="11"/>
      <c r="H46" s="11"/>
      <c r="I46" s="12"/>
      <c r="J46" s="12"/>
      <c r="K46" s="7">
        <f t="shared" si="3"/>
        <v>0</v>
      </c>
      <c r="L46" s="13"/>
      <c r="M46" s="11"/>
      <c r="N46" s="11"/>
      <c r="O46" s="13"/>
      <c r="P46" s="11"/>
      <c r="Q46" s="9" t="str">
        <f t="shared" ca="1" si="4"/>
        <v/>
      </c>
      <c r="R46" s="10" t="str">
        <f t="shared" si="5"/>
        <v>Vacant</v>
      </c>
      <c r="S46" s="11"/>
      <c r="T46" s="11"/>
      <c r="U46" s="11"/>
      <c r="V46" s="11"/>
    </row>
    <row r="47" spans="1:22" x14ac:dyDescent="0.2">
      <c r="A47" s="14"/>
      <c r="B47" s="14"/>
      <c r="C47" s="14"/>
      <c r="D47" s="14"/>
      <c r="E47" s="14"/>
      <c r="F47" s="14"/>
      <c r="G47" s="14"/>
      <c r="H47" s="14"/>
      <c r="I47" s="15"/>
      <c r="J47" s="15"/>
      <c r="K47" s="7">
        <f t="shared" si="3"/>
        <v>0</v>
      </c>
      <c r="L47" s="16"/>
      <c r="M47" s="14"/>
      <c r="N47" s="14"/>
      <c r="O47" s="16"/>
      <c r="P47" s="14"/>
      <c r="Q47" s="9" t="str">
        <f t="shared" ca="1" si="4"/>
        <v/>
      </c>
      <c r="R47" s="10" t="str">
        <f t="shared" si="5"/>
        <v>Vacant</v>
      </c>
      <c r="S47" s="14"/>
      <c r="T47" s="14"/>
      <c r="U47" s="14"/>
      <c r="V47" s="14"/>
    </row>
    <row r="48" spans="1:22" x14ac:dyDescent="0.2">
      <c r="A48" s="11"/>
      <c r="B48" s="11"/>
      <c r="C48" s="11"/>
      <c r="D48" s="11"/>
      <c r="E48" s="11"/>
      <c r="F48" s="11"/>
      <c r="G48" s="11"/>
      <c r="H48" s="11"/>
      <c r="I48" s="12"/>
      <c r="J48" s="12"/>
      <c r="K48" s="7">
        <f t="shared" si="3"/>
        <v>0</v>
      </c>
      <c r="L48" s="13"/>
      <c r="M48" s="11"/>
      <c r="N48" s="11"/>
      <c r="O48" s="13"/>
      <c r="P48" s="11"/>
      <c r="Q48" s="9" t="str">
        <f t="shared" ca="1" si="4"/>
        <v/>
      </c>
      <c r="R48" s="10" t="str">
        <f t="shared" si="5"/>
        <v>Vacant</v>
      </c>
      <c r="S48" s="11"/>
      <c r="T48" s="11"/>
      <c r="U48" s="11"/>
      <c r="V48" s="11"/>
    </row>
    <row r="49" spans="1:22" x14ac:dyDescent="0.2">
      <c r="A49" s="14"/>
      <c r="B49" s="14"/>
      <c r="C49" s="14"/>
      <c r="D49" s="14"/>
      <c r="E49" s="14"/>
      <c r="F49" s="14"/>
      <c r="G49" s="14"/>
      <c r="H49" s="14"/>
      <c r="I49" s="15"/>
      <c r="J49" s="15"/>
      <c r="K49" s="7">
        <f t="shared" si="3"/>
        <v>0</v>
      </c>
      <c r="L49" s="16"/>
      <c r="M49" s="14"/>
      <c r="N49" s="14"/>
      <c r="O49" s="16"/>
      <c r="P49" s="14"/>
      <c r="Q49" s="9" t="str">
        <f t="shared" ca="1" si="4"/>
        <v/>
      </c>
      <c r="R49" s="10" t="str">
        <f t="shared" si="5"/>
        <v>Vacant</v>
      </c>
      <c r="S49" s="14"/>
      <c r="T49" s="14"/>
      <c r="U49" s="14"/>
      <c r="V49" s="14"/>
    </row>
    <row r="50" spans="1:22" x14ac:dyDescent="0.2">
      <c r="A50" s="11"/>
      <c r="B50" s="11"/>
      <c r="C50" s="11"/>
      <c r="D50" s="11"/>
      <c r="E50" s="11"/>
      <c r="F50" s="11"/>
      <c r="G50" s="11"/>
      <c r="H50" s="11"/>
      <c r="I50" s="12"/>
      <c r="J50" s="12"/>
      <c r="K50" s="7">
        <f t="shared" si="3"/>
        <v>0</v>
      </c>
      <c r="L50" s="13"/>
      <c r="M50" s="11"/>
      <c r="N50" s="11"/>
      <c r="O50" s="13"/>
      <c r="P50" s="11"/>
      <c r="Q50" s="9" t="str">
        <f t="shared" ca="1" si="4"/>
        <v/>
      </c>
      <c r="R50" s="10" t="str">
        <f t="shared" si="5"/>
        <v>Vacant</v>
      </c>
      <c r="S50" s="11"/>
      <c r="T50" s="11"/>
      <c r="U50" s="11"/>
      <c r="V50" s="11"/>
    </row>
    <row r="51" spans="1:22" x14ac:dyDescent="0.2">
      <c r="A51" s="14"/>
      <c r="B51" s="14"/>
      <c r="C51" s="14"/>
      <c r="D51" s="14"/>
      <c r="E51" s="14"/>
      <c r="F51" s="14"/>
      <c r="G51" s="14"/>
      <c r="H51" s="14"/>
      <c r="I51" s="15"/>
      <c r="J51" s="15"/>
      <c r="K51" s="7">
        <f t="shared" si="3"/>
        <v>0</v>
      </c>
      <c r="L51" s="16"/>
      <c r="M51" s="14"/>
      <c r="N51" s="14"/>
      <c r="O51" s="16"/>
      <c r="P51" s="14"/>
      <c r="Q51" s="9" t="str">
        <f t="shared" ca="1" si="4"/>
        <v/>
      </c>
      <c r="R51" s="10" t="str">
        <f t="shared" si="5"/>
        <v>Vacant</v>
      </c>
      <c r="S51" s="14"/>
      <c r="T51" s="14"/>
      <c r="U51" s="14"/>
      <c r="V51" s="14"/>
    </row>
    <row r="52" spans="1:22" x14ac:dyDescent="0.2">
      <c r="A52" s="11"/>
      <c r="B52" s="11"/>
      <c r="C52" s="11"/>
      <c r="D52" s="11"/>
      <c r="E52" s="11"/>
      <c r="F52" s="11"/>
      <c r="G52" s="11"/>
      <c r="H52" s="11"/>
      <c r="I52" s="12"/>
      <c r="J52" s="12"/>
      <c r="K52" s="7">
        <f t="shared" si="3"/>
        <v>0</v>
      </c>
      <c r="L52" s="13"/>
      <c r="M52" s="11"/>
      <c r="N52" s="11"/>
      <c r="O52" s="13"/>
      <c r="P52" s="11"/>
      <c r="Q52" s="9" t="str">
        <f t="shared" ca="1" si="4"/>
        <v/>
      </c>
      <c r="R52" s="10" t="str">
        <f t="shared" si="5"/>
        <v>Vacant</v>
      </c>
      <c r="S52" s="11"/>
      <c r="T52" s="11"/>
      <c r="U52" s="11"/>
      <c r="V52" s="11"/>
    </row>
  </sheetData>
  <mergeCells count="2">
    <mergeCell ref="A2:V2"/>
    <mergeCell ref="A1:V1"/>
  </mergeCells>
  <conditionalFormatting sqref="Q4:Q52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2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G4:G52</xm:sqref>
        </x14:dataValidation>
        <x14:dataValidation type="list" allowBlank="1" xr:uid="{00000000-0002-0000-0300-000001000000}">
          <x14:formula1>
            <xm:f>LOOKUP!$B$14:$B$22</xm:f>
          </x14:formula1>
          <xm:sqref>M4:M52</xm:sqref>
        </x14:dataValidation>
        <x14:dataValidation type="list" allowBlank="1" xr:uid="{00000000-0002-0000-0300-000002000000}">
          <x14:formula1>
            <xm:f>LOOKUP!$B$14:$B$17</xm:f>
          </x14:formula1>
          <xm:sqref>N4:N52</xm:sqref>
        </x14:dataValidation>
        <x14:dataValidation type="list" allowBlank="1" xr:uid="{00000000-0002-0000-0300-000003000000}">
          <x14:formula1>
            <xm:f>LOOKUP!$B$23:$B$27</xm:f>
          </x14:formula1>
          <xm:sqref>P4:P52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3"/>
  <sheetViews>
    <sheetView workbookViewId="0">
      <selection activeCell="A2" sqref="A2"/>
    </sheetView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114</v>
      </c>
      <c r="B1" t="s">
        <v>17</v>
      </c>
      <c r="C1" t="s">
        <v>18</v>
      </c>
      <c r="D1" t="s">
        <v>88</v>
      </c>
      <c r="E1" t="s">
        <v>22</v>
      </c>
    </row>
    <row r="2" spans="1:5" x14ac:dyDescent="0.2">
      <c r="A2" t="s">
        <v>115</v>
      </c>
      <c r="C2" t="str">
        <f>IFERROR(INDEX(TENANTS!$B$4:$B$52,MATCH(A2,TENANTS!$F$4:$F$52,0)),"Vacant")</f>
        <v>Kwame Mensah Enterprises</v>
      </c>
      <c r="D2">
        <f>IFERROR(INDEX(TENANTS!$L$4:$L$52,MATCH(A2,TENANTS!$F$4:$F$52,0)),"")</f>
        <v>3500</v>
      </c>
      <c r="E2" t="str">
        <f t="shared" ref="E2:E13" si="0">IF(C2="Vacant","Vacant","Occupied")</f>
        <v>Occupied</v>
      </c>
    </row>
    <row r="3" spans="1:5" x14ac:dyDescent="0.2">
      <c r="A3" t="s">
        <v>116</v>
      </c>
      <c r="C3" t="str">
        <f>IFERROR(INDEX(TENANTS!$B$4:$B$52,MATCH(A3,TENANTS!$F$4:$F$52,0)),"Vacant")</f>
        <v>Vacant</v>
      </c>
      <c r="D3" t="str">
        <f>IFERROR(INDEX(TENANTS!$L$4:$L$52,MATCH(A3,TENANTS!$F$4:$F$52,0)),"")</f>
        <v/>
      </c>
      <c r="E3" t="str">
        <f t="shared" si="0"/>
        <v>Vacant</v>
      </c>
    </row>
    <row r="4" spans="1:5" x14ac:dyDescent="0.2">
      <c r="A4" t="s">
        <v>117</v>
      </c>
      <c r="C4" t="str">
        <f>IFERROR(INDEX(TENANTS!$B$4:$B$52,MATCH(A4,TENANTS!$F$4:$F$52,0)),"Vacant")</f>
        <v>Vacant</v>
      </c>
      <c r="D4" t="str">
        <f>IFERROR(INDEX(TENANTS!$L$4:$L$52,MATCH(A4,TENANTS!$F$4:$F$52,0)),"")</f>
        <v/>
      </c>
      <c r="E4" t="str">
        <f t="shared" si="0"/>
        <v>Vacant</v>
      </c>
    </row>
    <row r="5" spans="1:5" x14ac:dyDescent="0.2">
      <c r="A5" t="s">
        <v>118</v>
      </c>
      <c r="C5" t="str">
        <f>IFERROR(INDEX(TENANTS!$B$4:$B$52,MATCH(A5,TENANTS!$F$4:$F$52,0)),"Vacant")</f>
        <v>Vacant</v>
      </c>
      <c r="D5" t="str">
        <f>IFERROR(INDEX(TENANTS!$L$4:$L$52,MATCH(A5,TENANTS!$F$4:$F$52,0)),"")</f>
        <v/>
      </c>
      <c r="E5" t="str">
        <f t="shared" si="0"/>
        <v>Vacant</v>
      </c>
    </row>
    <row r="6" spans="1:5" x14ac:dyDescent="0.2">
      <c r="A6" t="s">
        <v>119</v>
      </c>
      <c r="C6" t="str">
        <f>IFERROR(INDEX(TENANTS!$B$4:$B$52,MATCH(A6,TENANTS!$F$4:$F$52,0)),"Vacant")</f>
        <v>Vacant</v>
      </c>
      <c r="D6" t="str">
        <f>IFERROR(INDEX(TENANTS!$L$4:$L$52,MATCH(A6,TENANTS!$F$4:$F$52,0)),"")</f>
        <v/>
      </c>
      <c r="E6" t="str">
        <f t="shared" si="0"/>
        <v>Vacant</v>
      </c>
    </row>
    <row r="7" spans="1:5" x14ac:dyDescent="0.2">
      <c r="A7" t="s">
        <v>120</v>
      </c>
      <c r="C7" t="str">
        <f>IFERROR(INDEX(TENANTS!$B$4:$B$52,MATCH(A7,TENANTS!$F$4:$F$52,0)),"Vacant")</f>
        <v>Vacant</v>
      </c>
      <c r="D7" t="str">
        <f>IFERROR(INDEX(TENANTS!$L$4:$L$52,MATCH(A7,TENANTS!$F$4:$F$52,0)),"")</f>
        <v/>
      </c>
      <c r="E7" t="str">
        <f t="shared" si="0"/>
        <v>Vacant</v>
      </c>
    </row>
    <row r="8" spans="1:5" x14ac:dyDescent="0.2">
      <c r="A8" t="s">
        <v>121</v>
      </c>
      <c r="C8" t="str">
        <f>IFERROR(INDEX(TENANTS!$B$4:$B$52,MATCH(A8,TENANTS!$F$4:$F$52,0)),"Vacant")</f>
        <v>Vacant</v>
      </c>
      <c r="D8" t="str">
        <f>IFERROR(INDEX(TENANTS!$L$4:$L$52,MATCH(A8,TENANTS!$F$4:$F$52,0)),"")</f>
        <v/>
      </c>
      <c r="E8" t="str">
        <f t="shared" si="0"/>
        <v>Vacant</v>
      </c>
    </row>
    <row r="9" spans="1:5" x14ac:dyDescent="0.2">
      <c r="A9" t="s">
        <v>122</v>
      </c>
      <c r="C9" t="str">
        <f>IFERROR(INDEX(TENANTS!$B$4:$B$52,MATCH(A9,TENANTS!$F$4:$F$52,0)),"Vacant")</f>
        <v>Vacant</v>
      </c>
      <c r="D9" t="str">
        <f>IFERROR(INDEX(TENANTS!$L$4:$L$52,MATCH(A9,TENANTS!$F$4:$F$52,0)),"")</f>
        <v/>
      </c>
      <c r="E9" t="str">
        <f t="shared" si="0"/>
        <v>Vacant</v>
      </c>
    </row>
    <row r="10" spans="1:5" x14ac:dyDescent="0.2">
      <c r="A10" t="s">
        <v>123</v>
      </c>
      <c r="C10" t="str">
        <f>IFERROR(INDEX(TENANTS!$B$4:$B$52,MATCH(A10,TENANTS!$F$4:$F$52,0)),"Vacant")</f>
        <v>Vacant</v>
      </c>
      <c r="D10" t="str">
        <f>IFERROR(INDEX(TENANTS!$L$4:$L$52,MATCH(A10,TENANTS!$F$4:$F$52,0)),"")</f>
        <v/>
      </c>
      <c r="E10" t="str">
        <f t="shared" si="0"/>
        <v>Vacant</v>
      </c>
    </row>
    <row r="11" spans="1:5" x14ac:dyDescent="0.2">
      <c r="A11" t="s">
        <v>124</v>
      </c>
      <c r="C11" t="str">
        <f>IFERROR(INDEX(TENANTS!$B$4:$B$52,MATCH(A11,TENANTS!$F$4:$F$52,0)),"Vacant")</f>
        <v>Vacant</v>
      </c>
      <c r="D11" t="str">
        <f>IFERROR(INDEX(TENANTS!$L$4:$L$52,MATCH(A11,TENANTS!$F$4:$F$52,0)),"")</f>
        <v/>
      </c>
      <c r="E11" t="str">
        <f t="shared" si="0"/>
        <v>Vacant</v>
      </c>
    </row>
    <row r="12" spans="1:5" x14ac:dyDescent="0.2">
      <c r="A12" t="s">
        <v>125</v>
      </c>
      <c r="C12" t="str">
        <f>IFERROR(INDEX(TENANTS!$B$4:$B$52,MATCH(A12,TENANTS!$F$4:$F$52,0)),"Vacant")</f>
        <v>Vacant</v>
      </c>
      <c r="D12" t="str">
        <f>IFERROR(INDEX(TENANTS!$L$4:$L$52,MATCH(A12,TENANTS!$F$4:$F$52,0)),"")</f>
        <v/>
      </c>
      <c r="E12" t="str">
        <f t="shared" si="0"/>
        <v>Vacant</v>
      </c>
    </row>
    <row r="13" spans="1:5" x14ac:dyDescent="0.2">
      <c r="A13" t="s">
        <v>126</v>
      </c>
      <c r="C13" t="str">
        <f>IFERROR(INDEX(TENANTS!$B$4:$B$52,MATCH(A13,TENANTS!$F$4:$F$52,0)),"Vacant")</f>
        <v>Vacant</v>
      </c>
      <c r="D13" t="str">
        <f>IFERROR(INDEX(TENANTS!$L$4:$L$52,MATCH(A13,TENANTS!$F$4:$F$52,0)),"")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Q53"/>
  <sheetViews>
    <sheetView showGridLines="0" workbookViewId="0">
      <pane ySplit="3" topLeftCell="A4" activePane="bottomLeft" state="frozen"/>
      <selection pane="bottomLeft" sqref="A1:Q1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83" t="s">
        <v>127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</row>
    <row r="2" spans="1:17" ht="18" customHeight="1" x14ac:dyDescent="0.2">
      <c r="A2" s="80" t="s">
        <v>128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</row>
    <row r="3" spans="1:17" ht="22" customHeight="1" x14ac:dyDescent="0.2">
      <c r="A3" s="17" t="s">
        <v>129</v>
      </c>
      <c r="B3" s="17" t="s">
        <v>17</v>
      </c>
      <c r="C3" s="17" t="s">
        <v>18</v>
      </c>
      <c r="D3" s="17" t="s">
        <v>19</v>
      </c>
      <c r="E3" s="17" t="s">
        <v>130</v>
      </c>
      <c r="F3" s="17" t="s">
        <v>131</v>
      </c>
      <c r="G3" s="17" t="s">
        <v>20</v>
      </c>
      <c r="H3" s="17" t="s">
        <v>132</v>
      </c>
      <c r="I3" s="17" t="s">
        <v>133</v>
      </c>
      <c r="J3" s="17" t="s">
        <v>134</v>
      </c>
      <c r="K3" s="17" t="s">
        <v>103</v>
      </c>
      <c r="L3" s="17" t="s">
        <v>135</v>
      </c>
      <c r="M3" s="17" t="s">
        <v>88</v>
      </c>
      <c r="N3" s="17" t="s">
        <v>60</v>
      </c>
      <c r="O3" s="17" t="s">
        <v>136</v>
      </c>
      <c r="P3" s="17" t="s">
        <v>137</v>
      </c>
      <c r="Q3" s="17" t="s">
        <v>138</v>
      </c>
    </row>
    <row r="4" spans="1:17" x14ac:dyDescent="0.2">
      <c r="A4" s="5" t="s">
        <v>139</v>
      </c>
      <c r="B4" s="5" t="s">
        <v>78</v>
      </c>
      <c r="C4" s="5" t="s">
        <v>106</v>
      </c>
      <c r="D4" s="5" t="s">
        <v>110</v>
      </c>
      <c r="E4" s="6">
        <v>45292</v>
      </c>
      <c r="F4" s="6">
        <v>45292</v>
      </c>
      <c r="G4" s="6">
        <v>45657</v>
      </c>
      <c r="H4" s="5" t="s">
        <v>74</v>
      </c>
      <c r="I4" s="5">
        <v>0</v>
      </c>
      <c r="J4" s="5"/>
      <c r="K4" s="7">
        <f t="shared" ref="K4:K35" si="0">IFERROR(DATEDIF(F4,G4,"M"),"")</f>
        <v>11</v>
      </c>
      <c r="L4" s="8">
        <v>42000</v>
      </c>
      <c r="M4" s="18">
        <f t="shared" ref="M4:M35" si="1">IFERROR(IF(L4="","",L4/12),"")</f>
        <v>3500</v>
      </c>
      <c r="N4" s="5" t="s">
        <v>61</v>
      </c>
      <c r="O4" s="19">
        <v>0.05</v>
      </c>
      <c r="P4" s="20">
        <f t="shared" ref="P4:P35" si="2">IFERROR(IF(G4="","",G4-365),"")</f>
        <v>45292</v>
      </c>
      <c r="Q4" s="5"/>
    </row>
    <row r="5" spans="1:17" x14ac:dyDescent="0.2">
      <c r="A5" s="11"/>
      <c r="B5" s="11"/>
      <c r="C5" s="11"/>
      <c r="D5" s="11"/>
      <c r="E5" s="12"/>
      <c r="F5" s="12"/>
      <c r="G5" s="12"/>
      <c r="H5" s="11"/>
      <c r="I5" s="11"/>
      <c r="J5" s="11"/>
      <c r="K5" s="7">
        <f t="shared" si="0"/>
        <v>0</v>
      </c>
      <c r="L5" s="13"/>
      <c r="M5" s="18" t="str">
        <f t="shared" si="1"/>
        <v/>
      </c>
      <c r="N5" s="11"/>
      <c r="O5" s="21"/>
      <c r="P5" s="20" t="str">
        <f t="shared" si="2"/>
        <v/>
      </c>
      <c r="Q5" s="11"/>
    </row>
    <row r="6" spans="1:17" x14ac:dyDescent="0.2">
      <c r="A6" s="14"/>
      <c r="B6" s="14"/>
      <c r="C6" s="14"/>
      <c r="D6" s="14"/>
      <c r="E6" s="15"/>
      <c r="F6" s="15"/>
      <c r="G6" s="15"/>
      <c r="H6" s="14"/>
      <c r="I6" s="14"/>
      <c r="J6" s="14"/>
      <c r="K6" s="7">
        <f t="shared" si="0"/>
        <v>0</v>
      </c>
      <c r="L6" s="16"/>
      <c r="M6" s="18" t="str">
        <f t="shared" si="1"/>
        <v/>
      </c>
      <c r="N6" s="14"/>
      <c r="O6" s="22"/>
      <c r="P6" s="20" t="str">
        <f t="shared" si="2"/>
        <v/>
      </c>
      <c r="Q6" s="14"/>
    </row>
    <row r="7" spans="1:17" x14ac:dyDescent="0.2">
      <c r="A7" s="11"/>
      <c r="B7" s="11"/>
      <c r="C7" s="11"/>
      <c r="D7" s="11"/>
      <c r="E7" s="12"/>
      <c r="F7" s="12"/>
      <c r="G7" s="12"/>
      <c r="H7" s="11"/>
      <c r="I7" s="11"/>
      <c r="J7" s="11"/>
      <c r="K7" s="7">
        <f t="shared" si="0"/>
        <v>0</v>
      </c>
      <c r="L7" s="13"/>
      <c r="M7" s="18" t="str">
        <f t="shared" si="1"/>
        <v/>
      </c>
      <c r="N7" s="11"/>
      <c r="O7" s="21"/>
      <c r="P7" s="20" t="str">
        <f t="shared" si="2"/>
        <v/>
      </c>
      <c r="Q7" s="11"/>
    </row>
    <row r="8" spans="1:17" x14ac:dyDescent="0.2">
      <c r="A8" s="14"/>
      <c r="B8" s="14"/>
      <c r="C8" s="14"/>
      <c r="D8" s="14"/>
      <c r="E8" s="15"/>
      <c r="F8" s="15"/>
      <c r="G8" s="15"/>
      <c r="H8" s="14"/>
      <c r="I8" s="14"/>
      <c r="J8" s="14"/>
      <c r="K8" s="7">
        <f t="shared" si="0"/>
        <v>0</v>
      </c>
      <c r="L8" s="16"/>
      <c r="M8" s="18" t="str">
        <f t="shared" si="1"/>
        <v/>
      </c>
      <c r="N8" s="14"/>
      <c r="O8" s="22"/>
      <c r="P8" s="20" t="str">
        <f t="shared" si="2"/>
        <v/>
      </c>
      <c r="Q8" s="14"/>
    </row>
    <row r="9" spans="1:17" x14ac:dyDescent="0.2">
      <c r="A9" s="11"/>
      <c r="B9" s="11"/>
      <c r="C9" s="11"/>
      <c r="D9" s="11"/>
      <c r="E9" s="12"/>
      <c r="F9" s="12"/>
      <c r="G9" s="12"/>
      <c r="H9" s="11"/>
      <c r="I9" s="11"/>
      <c r="J9" s="11"/>
      <c r="K9" s="7">
        <f t="shared" si="0"/>
        <v>0</v>
      </c>
      <c r="L9" s="13"/>
      <c r="M9" s="18" t="str">
        <f t="shared" si="1"/>
        <v/>
      </c>
      <c r="N9" s="11"/>
      <c r="O9" s="21"/>
      <c r="P9" s="20" t="str">
        <f t="shared" si="2"/>
        <v/>
      </c>
      <c r="Q9" s="11"/>
    </row>
    <row r="10" spans="1:17" x14ac:dyDescent="0.2">
      <c r="A10" s="14"/>
      <c r="B10" s="14"/>
      <c r="C10" s="14"/>
      <c r="D10" s="14"/>
      <c r="E10" s="15"/>
      <c r="F10" s="15"/>
      <c r="G10" s="15"/>
      <c r="H10" s="14"/>
      <c r="I10" s="14"/>
      <c r="J10" s="14"/>
      <c r="K10" s="7">
        <f t="shared" si="0"/>
        <v>0</v>
      </c>
      <c r="L10" s="16"/>
      <c r="M10" s="18" t="str">
        <f t="shared" si="1"/>
        <v/>
      </c>
      <c r="N10" s="14"/>
      <c r="O10" s="22"/>
      <c r="P10" s="20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2"/>
      <c r="F11" s="12"/>
      <c r="G11" s="12"/>
      <c r="H11" s="11"/>
      <c r="I11" s="11"/>
      <c r="J11" s="11"/>
      <c r="K11" s="7">
        <f t="shared" si="0"/>
        <v>0</v>
      </c>
      <c r="L11" s="13"/>
      <c r="M11" s="18" t="str">
        <f t="shared" si="1"/>
        <v/>
      </c>
      <c r="N11" s="11"/>
      <c r="O11" s="21"/>
      <c r="P11" s="20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5"/>
      <c r="F12" s="15"/>
      <c r="G12" s="15"/>
      <c r="H12" s="14"/>
      <c r="I12" s="14"/>
      <c r="J12" s="14"/>
      <c r="K12" s="7">
        <f t="shared" si="0"/>
        <v>0</v>
      </c>
      <c r="L12" s="16"/>
      <c r="M12" s="18" t="str">
        <f t="shared" si="1"/>
        <v/>
      </c>
      <c r="N12" s="14"/>
      <c r="O12" s="22"/>
      <c r="P12" s="20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2"/>
      <c r="F13" s="12"/>
      <c r="G13" s="12"/>
      <c r="H13" s="11"/>
      <c r="I13" s="11"/>
      <c r="J13" s="11"/>
      <c r="K13" s="7">
        <f t="shared" si="0"/>
        <v>0</v>
      </c>
      <c r="L13" s="13"/>
      <c r="M13" s="18" t="str">
        <f t="shared" si="1"/>
        <v/>
      </c>
      <c r="N13" s="11"/>
      <c r="O13" s="21"/>
      <c r="P13" s="20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5"/>
      <c r="F14" s="15"/>
      <c r="G14" s="15"/>
      <c r="H14" s="14"/>
      <c r="I14" s="14"/>
      <c r="J14" s="14"/>
      <c r="K14" s="7">
        <f t="shared" si="0"/>
        <v>0</v>
      </c>
      <c r="L14" s="16"/>
      <c r="M14" s="18" t="str">
        <f t="shared" si="1"/>
        <v/>
      </c>
      <c r="N14" s="14"/>
      <c r="O14" s="22"/>
      <c r="P14" s="20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2"/>
      <c r="F15" s="12"/>
      <c r="G15" s="12"/>
      <c r="H15" s="11"/>
      <c r="I15" s="11"/>
      <c r="J15" s="11"/>
      <c r="K15" s="7">
        <f t="shared" si="0"/>
        <v>0</v>
      </c>
      <c r="L15" s="13"/>
      <c r="M15" s="18" t="str">
        <f t="shared" si="1"/>
        <v/>
      </c>
      <c r="N15" s="11"/>
      <c r="O15" s="21"/>
      <c r="P15" s="20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5"/>
      <c r="F16" s="15"/>
      <c r="G16" s="15"/>
      <c r="H16" s="14"/>
      <c r="I16" s="14"/>
      <c r="J16" s="14"/>
      <c r="K16" s="7">
        <f t="shared" si="0"/>
        <v>0</v>
      </c>
      <c r="L16" s="16"/>
      <c r="M16" s="18" t="str">
        <f t="shared" si="1"/>
        <v/>
      </c>
      <c r="N16" s="14"/>
      <c r="O16" s="22"/>
      <c r="P16" s="20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2"/>
      <c r="F17" s="12"/>
      <c r="G17" s="12"/>
      <c r="H17" s="11"/>
      <c r="I17" s="11"/>
      <c r="J17" s="11"/>
      <c r="K17" s="7">
        <f t="shared" si="0"/>
        <v>0</v>
      </c>
      <c r="L17" s="13"/>
      <c r="M17" s="18" t="str">
        <f t="shared" si="1"/>
        <v/>
      </c>
      <c r="N17" s="11"/>
      <c r="O17" s="21"/>
      <c r="P17" s="20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5"/>
      <c r="F18" s="15"/>
      <c r="G18" s="15"/>
      <c r="H18" s="14"/>
      <c r="I18" s="14"/>
      <c r="J18" s="14"/>
      <c r="K18" s="7">
        <f t="shared" si="0"/>
        <v>0</v>
      </c>
      <c r="L18" s="16"/>
      <c r="M18" s="18" t="str">
        <f t="shared" si="1"/>
        <v/>
      </c>
      <c r="N18" s="14"/>
      <c r="O18" s="22"/>
      <c r="P18" s="20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2"/>
      <c r="F19" s="12"/>
      <c r="G19" s="12"/>
      <c r="H19" s="11"/>
      <c r="I19" s="11"/>
      <c r="J19" s="11"/>
      <c r="K19" s="7">
        <f t="shared" si="0"/>
        <v>0</v>
      </c>
      <c r="L19" s="13"/>
      <c r="M19" s="18" t="str">
        <f t="shared" si="1"/>
        <v/>
      </c>
      <c r="N19" s="11"/>
      <c r="O19" s="21"/>
      <c r="P19" s="20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5"/>
      <c r="F20" s="15"/>
      <c r="G20" s="15"/>
      <c r="H20" s="14"/>
      <c r="I20" s="14"/>
      <c r="J20" s="14"/>
      <c r="K20" s="7">
        <f t="shared" si="0"/>
        <v>0</v>
      </c>
      <c r="L20" s="16"/>
      <c r="M20" s="18" t="str">
        <f t="shared" si="1"/>
        <v/>
      </c>
      <c r="N20" s="14"/>
      <c r="O20" s="22"/>
      <c r="P20" s="20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2"/>
      <c r="F21" s="12"/>
      <c r="G21" s="12"/>
      <c r="H21" s="11"/>
      <c r="I21" s="11"/>
      <c r="J21" s="11"/>
      <c r="K21" s="7">
        <f t="shared" si="0"/>
        <v>0</v>
      </c>
      <c r="L21" s="13"/>
      <c r="M21" s="18" t="str">
        <f t="shared" si="1"/>
        <v/>
      </c>
      <c r="N21" s="11"/>
      <c r="O21" s="21"/>
      <c r="P21" s="20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5"/>
      <c r="F22" s="15"/>
      <c r="G22" s="15"/>
      <c r="H22" s="14"/>
      <c r="I22" s="14"/>
      <c r="J22" s="14"/>
      <c r="K22" s="7">
        <f t="shared" si="0"/>
        <v>0</v>
      </c>
      <c r="L22" s="16"/>
      <c r="M22" s="18" t="str">
        <f t="shared" si="1"/>
        <v/>
      </c>
      <c r="N22" s="14"/>
      <c r="O22" s="22"/>
      <c r="P22" s="20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2"/>
      <c r="F23" s="12"/>
      <c r="G23" s="12"/>
      <c r="H23" s="11"/>
      <c r="I23" s="11"/>
      <c r="J23" s="11"/>
      <c r="K23" s="7">
        <f t="shared" si="0"/>
        <v>0</v>
      </c>
      <c r="L23" s="13"/>
      <c r="M23" s="18" t="str">
        <f t="shared" si="1"/>
        <v/>
      </c>
      <c r="N23" s="11"/>
      <c r="O23" s="21"/>
      <c r="P23" s="20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5"/>
      <c r="F24" s="15"/>
      <c r="G24" s="15"/>
      <c r="H24" s="14"/>
      <c r="I24" s="14"/>
      <c r="J24" s="14"/>
      <c r="K24" s="7">
        <f t="shared" si="0"/>
        <v>0</v>
      </c>
      <c r="L24" s="16"/>
      <c r="M24" s="18" t="str">
        <f t="shared" si="1"/>
        <v/>
      </c>
      <c r="N24" s="14"/>
      <c r="O24" s="22"/>
      <c r="P24" s="20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2"/>
      <c r="F25" s="12"/>
      <c r="G25" s="12"/>
      <c r="H25" s="11"/>
      <c r="I25" s="11"/>
      <c r="J25" s="11"/>
      <c r="K25" s="7">
        <f t="shared" si="0"/>
        <v>0</v>
      </c>
      <c r="L25" s="13"/>
      <c r="M25" s="18" t="str">
        <f t="shared" si="1"/>
        <v/>
      </c>
      <c r="N25" s="11"/>
      <c r="O25" s="21"/>
      <c r="P25" s="20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5"/>
      <c r="F26" s="15"/>
      <c r="G26" s="15"/>
      <c r="H26" s="14"/>
      <c r="I26" s="14"/>
      <c r="J26" s="14"/>
      <c r="K26" s="7">
        <f t="shared" si="0"/>
        <v>0</v>
      </c>
      <c r="L26" s="16"/>
      <c r="M26" s="18" t="str">
        <f t="shared" si="1"/>
        <v/>
      </c>
      <c r="N26" s="14"/>
      <c r="O26" s="22"/>
      <c r="P26" s="20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2"/>
      <c r="F27" s="12"/>
      <c r="G27" s="12"/>
      <c r="H27" s="11"/>
      <c r="I27" s="11"/>
      <c r="J27" s="11"/>
      <c r="K27" s="7">
        <f t="shared" si="0"/>
        <v>0</v>
      </c>
      <c r="L27" s="13"/>
      <c r="M27" s="18" t="str">
        <f t="shared" si="1"/>
        <v/>
      </c>
      <c r="N27" s="11"/>
      <c r="O27" s="21"/>
      <c r="P27" s="20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5"/>
      <c r="F28" s="15"/>
      <c r="G28" s="15"/>
      <c r="H28" s="14"/>
      <c r="I28" s="14"/>
      <c r="J28" s="14"/>
      <c r="K28" s="7">
        <f t="shared" si="0"/>
        <v>0</v>
      </c>
      <c r="L28" s="16"/>
      <c r="M28" s="18" t="str">
        <f t="shared" si="1"/>
        <v/>
      </c>
      <c r="N28" s="14"/>
      <c r="O28" s="22"/>
      <c r="P28" s="20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2"/>
      <c r="F29" s="12"/>
      <c r="G29" s="12"/>
      <c r="H29" s="11"/>
      <c r="I29" s="11"/>
      <c r="J29" s="11"/>
      <c r="K29" s="7">
        <f t="shared" si="0"/>
        <v>0</v>
      </c>
      <c r="L29" s="13"/>
      <c r="M29" s="18" t="str">
        <f t="shared" si="1"/>
        <v/>
      </c>
      <c r="N29" s="11"/>
      <c r="O29" s="21"/>
      <c r="P29" s="20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5"/>
      <c r="F30" s="15"/>
      <c r="G30" s="15"/>
      <c r="H30" s="14"/>
      <c r="I30" s="14"/>
      <c r="J30" s="14"/>
      <c r="K30" s="7">
        <f t="shared" si="0"/>
        <v>0</v>
      </c>
      <c r="L30" s="16"/>
      <c r="M30" s="18" t="str">
        <f t="shared" si="1"/>
        <v/>
      </c>
      <c r="N30" s="14"/>
      <c r="O30" s="22"/>
      <c r="P30" s="20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2"/>
      <c r="F31" s="12"/>
      <c r="G31" s="12"/>
      <c r="H31" s="11"/>
      <c r="I31" s="11"/>
      <c r="J31" s="11"/>
      <c r="K31" s="7">
        <f t="shared" si="0"/>
        <v>0</v>
      </c>
      <c r="L31" s="13"/>
      <c r="M31" s="18" t="str">
        <f t="shared" si="1"/>
        <v/>
      </c>
      <c r="N31" s="11"/>
      <c r="O31" s="21"/>
      <c r="P31" s="20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5"/>
      <c r="F32" s="15"/>
      <c r="G32" s="15"/>
      <c r="H32" s="14"/>
      <c r="I32" s="14"/>
      <c r="J32" s="14"/>
      <c r="K32" s="7">
        <f t="shared" si="0"/>
        <v>0</v>
      </c>
      <c r="L32" s="16"/>
      <c r="M32" s="18" t="str">
        <f t="shared" si="1"/>
        <v/>
      </c>
      <c r="N32" s="14"/>
      <c r="O32" s="22"/>
      <c r="P32" s="20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2"/>
      <c r="F33" s="12"/>
      <c r="G33" s="12"/>
      <c r="H33" s="11"/>
      <c r="I33" s="11"/>
      <c r="J33" s="11"/>
      <c r="K33" s="7">
        <f t="shared" si="0"/>
        <v>0</v>
      </c>
      <c r="L33" s="13"/>
      <c r="M33" s="18" t="str">
        <f t="shared" si="1"/>
        <v/>
      </c>
      <c r="N33" s="11"/>
      <c r="O33" s="21"/>
      <c r="P33" s="20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5"/>
      <c r="F34" s="15"/>
      <c r="G34" s="15"/>
      <c r="H34" s="14"/>
      <c r="I34" s="14"/>
      <c r="J34" s="14"/>
      <c r="K34" s="7">
        <f t="shared" si="0"/>
        <v>0</v>
      </c>
      <c r="L34" s="16"/>
      <c r="M34" s="18" t="str">
        <f t="shared" si="1"/>
        <v/>
      </c>
      <c r="N34" s="14"/>
      <c r="O34" s="22"/>
      <c r="P34" s="20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2"/>
      <c r="F35" s="12"/>
      <c r="G35" s="12"/>
      <c r="H35" s="11"/>
      <c r="I35" s="11"/>
      <c r="J35" s="11"/>
      <c r="K35" s="7">
        <f t="shared" si="0"/>
        <v>0</v>
      </c>
      <c r="L35" s="13"/>
      <c r="M35" s="18" t="str">
        <f t="shared" si="1"/>
        <v/>
      </c>
      <c r="N35" s="11"/>
      <c r="O35" s="21"/>
      <c r="P35" s="20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5"/>
      <c r="F36" s="15"/>
      <c r="G36" s="15"/>
      <c r="H36" s="14"/>
      <c r="I36" s="14"/>
      <c r="J36" s="14"/>
      <c r="K36" s="7">
        <f t="shared" ref="K36:K53" si="3">IFERROR(DATEDIF(F36,G36,"M"),"")</f>
        <v>0</v>
      </c>
      <c r="L36" s="16"/>
      <c r="M36" s="18" t="str">
        <f t="shared" ref="M36:M53" si="4">IFERROR(IF(L36="","",L36/12),"")</f>
        <v/>
      </c>
      <c r="N36" s="14"/>
      <c r="O36" s="22"/>
      <c r="P36" s="20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2"/>
      <c r="F37" s="12"/>
      <c r="G37" s="12"/>
      <c r="H37" s="11"/>
      <c r="I37" s="11"/>
      <c r="J37" s="11"/>
      <c r="K37" s="7">
        <f t="shared" si="3"/>
        <v>0</v>
      </c>
      <c r="L37" s="13"/>
      <c r="M37" s="18" t="str">
        <f t="shared" si="4"/>
        <v/>
      </c>
      <c r="N37" s="11"/>
      <c r="O37" s="21"/>
      <c r="P37" s="20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5"/>
      <c r="F38" s="15"/>
      <c r="G38" s="15"/>
      <c r="H38" s="14"/>
      <c r="I38" s="14"/>
      <c r="J38" s="14"/>
      <c r="K38" s="7">
        <f t="shared" si="3"/>
        <v>0</v>
      </c>
      <c r="L38" s="16"/>
      <c r="M38" s="18" t="str">
        <f t="shared" si="4"/>
        <v/>
      </c>
      <c r="N38" s="14"/>
      <c r="O38" s="22"/>
      <c r="P38" s="20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2"/>
      <c r="F39" s="12"/>
      <c r="G39" s="12"/>
      <c r="H39" s="11"/>
      <c r="I39" s="11"/>
      <c r="J39" s="11"/>
      <c r="K39" s="7">
        <f t="shared" si="3"/>
        <v>0</v>
      </c>
      <c r="L39" s="13"/>
      <c r="M39" s="18" t="str">
        <f t="shared" si="4"/>
        <v/>
      </c>
      <c r="N39" s="11"/>
      <c r="O39" s="21"/>
      <c r="P39" s="20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5"/>
      <c r="F40" s="15"/>
      <c r="G40" s="15"/>
      <c r="H40" s="14"/>
      <c r="I40" s="14"/>
      <c r="J40" s="14"/>
      <c r="K40" s="7">
        <f t="shared" si="3"/>
        <v>0</v>
      </c>
      <c r="L40" s="16"/>
      <c r="M40" s="18" t="str">
        <f t="shared" si="4"/>
        <v/>
      </c>
      <c r="N40" s="14"/>
      <c r="O40" s="22"/>
      <c r="P40" s="20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2"/>
      <c r="F41" s="12"/>
      <c r="G41" s="12"/>
      <c r="H41" s="11"/>
      <c r="I41" s="11"/>
      <c r="J41" s="11"/>
      <c r="K41" s="7">
        <f t="shared" si="3"/>
        <v>0</v>
      </c>
      <c r="L41" s="13"/>
      <c r="M41" s="18" t="str">
        <f t="shared" si="4"/>
        <v/>
      </c>
      <c r="N41" s="11"/>
      <c r="O41" s="21"/>
      <c r="P41" s="20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5"/>
      <c r="F42" s="15"/>
      <c r="G42" s="15"/>
      <c r="H42" s="14"/>
      <c r="I42" s="14"/>
      <c r="J42" s="14"/>
      <c r="K42" s="7">
        <f t="shared" si="3"/>
        <v>0</v>
      </c>
      <c r="L42" s="16"/>
      <c r="M42" s="18" t="str">
        <f t="shared" si="4"/>
        <v/>
      </c>
      <c r="N42" s="14"/>
      <c r="O42" s="22"/>
      <c r="P42" s="20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2"/>
      <c r="F43" s="12"/>
      <c r="G43" s="12"/>
      <c r="H43" s="11"/>
      <c r="I43" s="11"/>
      <c r="J43" s="11"/>
      <c r="K43" s="7">
        <f t="shared" si="3"/>
        <v>0</v>
      </c>
      <c r="L43" s="13"/>
      <c r="M43" s="18" t="str">
        <f t="shared" si="4"/>
        <v/>
      </c>
      <c r="N43" s="11"/>
      <c r="O43" s="21"/>
      <c r="P43" s="20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5"/>
      <c r="F44" s="15"/>
      <c r="G44" s="15"/>
      <c r="H44" s="14"/>
      <c r="I44" s="14"/>
      <c r="J44" s="14"/>
      <c r="K44" s="7">
        <f t="shared" si="3"/>
        <v>0</v>
      </c>
      <c r="L44" s="16"/>
      <c r="M44" s="18" t="str">
        <f t="shared" si="4"/>
        <v/>
      </c>
      <c r="N44" s="14"/>
      <c r="O44" s="22"/>
      <c r="P44" s="20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2"/>
      <c r="F45" s="12"/>
      <c r="G45" s="12"/>
      <c r="H45" s="11"/>
      <c r="I45" s="11"/>
      <c r="J45" s="11"/>
      <c r="K45" s="7">
        <f t="shared" si="3"/>
        <v>0</v>
      </c>
      <c r="L45" s="13"/>
      <c r="M45" s="18" t="str">
        <f t="shared" si="4"/>
        <v/>
      </c>
      <c r="N45" s="11"/>
      <c r="O45" s="21"/>
      <c r="P45" s="20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5"/>
      <c r="F46" s="15"/>
      <c r="G46" s="15"/>
      <c r="H46" s="14"/>
      <c r="I46" s="14"/>
      <c r="J46" s="14"/>
      <c r="K46" s="7">
        <f t="shared" si="3"/>
        <v>0</v>
      </c>
      <c r="L46" s="16"/>
      <c r="M46" s="18" t="str">
        <f t="shared" si="4"/>
        <v/>
      </c>
      <c r="N46" s="14"/>
      <c r="O46" s="22"/>
      <c r="P46" s="20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2"/>
      <c r="F47" s="12"/>
      <c r="G47" s="12"/>
      <c r="H47" s="11"/>
      <c r="I47" s="11"/>
      <c r="J47" s="11"/>
      <c r="K47" s="7">
        <f t="shared" si="3"/>
        <v>0</v>
      </c>
      <c r="L47" s="13"/>
      <c r="M47" s="18" t="str">
        <f t="shared" si="4"/>
        <v/>
      </c>
      <c r="N47" s="11"/>
      <c r="O47" s="21"/>
      <c r="P47" s="20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5"/>
      <c r="F48" s="15"/>
      <c r="G48" s="15"/>
      <c r="H48" s="14"/>
      <c r="I48" s="14"/>
      <c r="J48" s="14"/>
      <c r="K48" s="7">
        <f t="shared" si="3"/>
        <v>0</v>
      </c>
      <c r="L48" s="16"/>
      <c r="M48" s="18" t="str">
        <f t="shared" si="4"/>
        <v/>
      </c>
      <c r="N48" s="14"/>
      <c r="O48" s="22"/>
      <c r="P48" s="20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2"/>
      <c r="F49" s="12"/>
      <c r="G49" s="12"/>
      <c r="H49" s="11"/>
      <c r="I49" s="11"/>
      <c r="J49" s="11"/>
      <c r="K49" s="7">
        <f t="shared" si="3"/>
        <v>0</v>
      </c>
      <c r="L49" s="13"/>
      <c r="M49" s="18" t="str">
        <f t="shared" si="4"/>
        <v/>
      </c>
      <c r="N49" s="11"/>
      <c r="O49" s="21"/>
      <c r="P49" s="20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5"/>
      <c r="F50" s="15"/>
      <c r="G50" s="15"/>
      <c r="H50" s="14"/>
      <c r="I50" s="14"/>
      <c r="J50" s="14"/>
      <c r="K50" s="7">
        <f t="shared" si="3"/>
        <v>0</v>
      </c>
      <c r="L50" s="16"/>
      <c r="M50" s="18" t="str">
        <f t="shared" si="4"/>
        <v/>
      </c>
      <c r="N50" s="14"/>
      <c r="O50" s="22"/>
      <c r="P50" s="20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2"/>
      <c r="F51" s="12"/>
      <c r="G51" s="12"/>
      <c r="H51" s="11"/>
      <c r="I51" s="11"/>
      <c r="J51" s="11"/>
      <c r="K51" s="7">
        <f t="shared" si="3"/>
        <v>0</v>
      </c>
      <c r="L51" s="13"/>
      <c r="M51" s="18" t="str">
        <f t="shared" si="4"/>
        <v/>
      </c>
      <c r="N51" s="11"/>
      <c r="O51" s="21"/>
      <c r="P51" s="20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5"/>
      <c r="F52" s="15"/>
      <c r="G52" s="15"/>
      <c r="H52" s="14"/>
      <c r="I52" s="14"/>
      <c r="J52" s="14"/>
      <c r="K52" s="7">
        <f t="shared" si="3"/>
        <v>0</v>
      </c>
      <c r="L52" s="16"/>
      <c r="M52" s="18" t="str">
        <f t="shared" si="4"/>
        <v/>
      </c>
      <c r="N52" s="14"/>
      <c r="O52" s="22"/>
      <c r="P52" s="20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2"/>
      <c r="F53" s="12"/>
      <c r="G53" s="12"/>
      <c r="H53" s="11"/>
      <c r="I53" s="11"/>
      <c r="J53" s="11"/>
      <c r="K53" s="7">
        <f t="shared" si="3"/>
        <v>0</v>
      </c>
      <c r="L53" s="13"/>
      <c r="M53" s="18" t="str">
        <f t="shared" si="4"/>
        <v/>
      </c>
      <c r="N53" s="11"/>
      <c r="O53" s="21"/>
      <c r="P53" s="20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2026-07-12T19:48:15Z</dcterms:created>
  <dcterms:modified xsi:type="dcterms:W3CDTF">2026-07-12T20:27:26Z</dcterms:modified>
</cp:coreProperties>
</file>