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rightyeboah-akowuah/TenantManager/"/>
    </mc:Choice>
  </mc:AlternateContent>
  <xr:revisionPtr revIDLastSave="0" documentId="13_ncr:1_{7C33B0E7-8535-744B-864C-D3E1797BE956}" xr6:coauthVersionLast="47" xr6:coauthVersionMax="47" xr10:uidLastSave="{00000000-0000-0000-0000-000000000000}"/>
  <bookViews>
    <workbookView xWindow="0" yWindow="760" windowWidth="29400" windowHeight="17280" activeTab="5" xr2:uid="{00000000-000D-0000-FFFF-FFFF00000000}"/>
  </bookViews>
  <sheets>
    <sheet name="DASHBOARD" sheetId="1" r:id="rId1"/>
    <sheet name="LOOKUP" sheetId="2" state="hidden" r:id="rId2"/>
    <sheet name="TENANT FORM" sheetId="3" r:id="rId3"/>
    <sheet name="TENANTS" sheetId="4" r:id="rId4"/>
    <sheet name="ROOMS" sheetId="5" r:id="rId5"/>
    <sheet name="AGREEMENTS" sheetId="6" r:id="rId6"/>
  </sheets>
  <functionGroups builtInGroupCount="19"/>
  <definedNames>
    <definedName name="RemovePho">'TENANT FORM'!#REF!</definedName>
    <definedName name="RemovePic">'TENANT FORM'!#REF!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9" i="3" l="1"/>
  <c r="K39" i="3"/>
  <c r="J39" i="3"/>
  <c r="I39" i="3"/>
  <c r="H39" i="3"/>
  <c r="G39" i="3"/>
  <c r="F39" i="3"/>
  <c r="E39" i="3"/>
  <c r="D39" i="3"/>
  <c r="C39" i="3"/>
  <c r="B39" i="3"/>
  <c r="A39" i="3"/>
  <c r="L38" i="3"/>
  <c r="K38" i="3"/>
  <c r="J38" i="3"/>
  <c r="I38" i="3"/>
  <c r="H38" i="3"/>
  <c r="G38" i="3"/>
  <c r="F38" i="3"/>
  <c r="E38" i="3"/>
  <c r="D38" i="3"/>
  <c r="C38" i="3"/>
  <c r="B38" i="3"/>
  <c r="A38" i="3"/>
  <c r="L37" i="3"/>
  <c r="K37" i="3"/>
  <c r="J37" i="3"/>
  <c r="I37" i="3"/>
  <c r="H37" i="3"/>
  <c r="G37" i="3"/>
  <c r="F37" i="3"/>
  <c r="E37" i="3"/>
  <c r="D37" i="3"/>
  <c r="C37" i="3"/>
  <c r="B37" i="3"/>
  <c r="A37" i="3"/>
  <c r="L36" i="3"/>
  <c r="K36" i="3"/>
  <c r="J36" i="3"/>
  <c r="I36" i="3"/>
  <c r="H36" i="3"/>
  <c r="F36" i="3"/>
  <c r="E36" i="3"/>
  <c r="D36" i="3"/>
  <c r="C36" i="3"/>
  <c r="B36" i="3"/>
  <c r="A36" i="3"/>
  <c r="L35" i="3"/>
  <c r="K35" i="3"/>
  <c r="J35" i="3"/>
  <c r="I35" i="3"/>
  <c r="H35" i="3"/>
  <c r="F35" i="3"/>
  <c r="E35" i="3"/>
  <c r="D35" i="3"/>
  <c r="C35" i="3"/>
  <c r="B35" i="3"/>
  <c r="A35" i="3"/>
  <c r="L34" i="3"/>
  <c r="K34" i="3"/>
  <c r="J34" i="3"/>
  <c r="I34" i="3"/>
  <c r="H34" i="3"/>
  <c r="F34" i="3"/>
  <c r="E34" i="3"/>
  <c r="D34" i="3"/>
  <c r="C34" i="3"/>
  <c r="B34" i="3"/>
  <c r="A34" i="3"/>
  <c r="Q5" i="4"/>
  <c r="R5" i="4" s="1"/>
  <c r="G35" i="3" s="1"/>
  <c r="K5" i="4"/>
  <c r="Q4" i="4"/>
  <c r="R4" i="4" s="1"/>
  <c r="G34" i="3" s="1"/>
  <c r="K4" i="4"/>
  <c r="Q6" i="4"/>
  <c r="R6" i="4" s="1"/>
  <c r="G36" i="3" s="1"/>
  <c r="K6" i="4"/>
  <c r="P53" i="6"/>
  <c r="M53" i="6"/>
  <c r="K53" i="6"/>
  <c r="P52" i="6"/>
  <c r="M52" i="6"/>
  <c r="K52" i="6"/>
  <c r="P51" i="6"/>
  <c r="M51" i="6"/>
  <c r="K51" i="6"/>
  <c r="P50" i="6"/>
  <c r="M50" i="6"/>
  <c r="K50" i="6"/>
  <c r="P49" i="6"/>
  <c r="M49" i="6"/>
  <c r="K49" i="6"/>
  <c r="P48" i="6"/>
  <c r="M48" i="6"/>
  <c r="K48" i="6"/>
  <c r="P47" i="6"/>
  <c r="M47" i="6"/>
  <c r="K47" i="6"/>
  <c r="P46" i="6"/>
  <c r="M46" i="6"/>
  <c r="K46" i="6"/>
  <c r="P45" i="6"/>
  <c r="M45" i="6"/>
  <c r="K45" i="6"/>
  <c r="P44" i="6"/>
  <c r="M44" i="6"/>
  <c r="K44" i="6"/>
  <c r="P43" i="6"/>
  <c r="M43" i="6"/>
  <c r="K43" i="6"/>
  <c r="P42" i="6"/>
  <c r="M42" i="6"/>
  <c r="K42" i="6"/>
  <c r="P41" i="6"/>
  <c r="M41" i="6"/>
  <c r="K41" i="6"/>
  <c r="P40" i="6"/>
  <c r="M40" i="6"/>
  <c r="K40" i="6"/>
  <c r="P39" i="6"/>
  <c r="M39" i="6"/>
  <c r="K39" i="6"/>
  <c r="P38" i="6"/>
  <c r="M38" i="6"/>
  <c r="K38" i="6"/>
  <c r="P37" i="6"/>
  <c r="M37" i="6"/>
  <c r="K37" i="6"/>
  <c r="P36" i="6"/>
  <c r="M36" i="6"/>
  <c r="K36" i="6"/>
  <c r="P35" i="6"/>
  <c r="M35" i="6"/>
  <c r="K35" i="6"/>
  <c r="P34" i="6"/>
  <c r="M34" i="6"/>
  <c r="K34" i="6"/>
  <c r="P33" i="6"/>
  <c r="M33" i="6"/>
  <c r="K33" i="6"/>
  <c r="P32" i="6"/>
  <c r="M32" i="6"/>
  <c r="K32" i="6"/>
  <c r="P31" i="6"/>
  <c r="M31" i="6"/>
  <c r="K31" i="6"/>
  <c r="P30" i="6"/>
  <c r="M30" i="6"/>
  <c r="K30" i="6"/>
  <c r="P29" i="6"/>
  <c r="M29" i="6"/>
  <c r="K29" i="6"/>
  <c r="P28" i="6"/>
  <c r="M28" i="6"/>
  <c r="K28" i="6"/>
  <c r="P27" i="6"/>
  <c r="M27" i="6"/>
  <c r="K27" i="6"/>
  <c r="P26" i="6"/>
  <c r="M26" i="6"/>
  <c r="K26" i="6"/>
  <c r="P25" i="6"/>
  <c r="M25" i="6"/>
  <c r="K25" i="6"/>
  <c r="P24" i="6"/>
  <c r="M24" i="6"/>
  <c r="K24" i="6"/>
  <c r="P23" i="6"/>
  <c r="M23" i="6"/>
  <c r="K23" i="6"/>
  <c r="P22" i="6"/>
  <c r="M22" i="6"/>
  <c r="K22" i="6"/>
  <c r="P21" i="6"/>
  <c r="M21" i="6"/>
  <c r="K21" i="6"/>
  <c r="P20" i="6"/>
  <c r="M20" i="6"/>
  <c r="K20" i="6"/>
  <c r="P19" i="6"/>
  <c r="M19" i="6"/>
  <c r="K19" i="6"/>
  <c r="P18" i="6"/>
  <c r="M18" i="6"/>
  <c r="K18" i="6"/>
  <c r="P17" i="6"/>
  <c r="M17" i="6"/>
  <c r="K17" i="6"/>
  <c r="P16" i="6"/>
  <c r="M16" i="6"/>
  <c r="K16" i="6"/>
  <c r="P15" i="6"/>
  <c r="M15" i="6"/>
  <c r="K15" i="6"/>
  <c r="P14" i="6"/>
  <c r="M14" i="6"/>
  <c r="K14" i="6"/>
  <c r="P13" i="6"/>
  <c r="M13" i="6"/>
  <c r="K13" i="6"/>
  <c r="P12" i="6"/>
  <c r="M12" i="6"/>
  <c r="K12" i="6"/>
  <c r="P11" i="6"/>
  <c r="M11" i="6"/>
  <c r="K11" i="6"/>
  <c r="P10" i="6"/>
  <c r="M10" i="6"/>
  <c r="K10" i="6"/>
  <c r="P9" i="6"/>
  <c r="M9" i="6"/>
  <c r="K9" i="6"/>
  <c r="P8" i="6"/>
  <c r="M8" i="6"/>
  <c r="K8" i="6"/>
  <c r="P7" i="6"/>
  <c r="M7" i="6"/>
  <c r="K7" i="6"/>
  <c r="P6" i="6"/>
  <c r="M6" i="6"/>
  <c r="K6" i="6"/>
  <c r="P5" i="6"/>
  <c r="M5" i="6"/>
  <c r="P4" i="6"/>
  <c r="M4" i="6"/>
  <c r="K4" i="6"/>
  <c r="D13" i="5"/>
  <c r="C13" i="5"/>
  <c r="E13" i="5" s="1"/>
  <c r="D12" i="5"/>
  <c r="C12" i="5"/>
  <c r="E12" i="5" s="1"/>
  <c r="D11" i="5"/>
  <c r="C11" i="5"/>
  <c r="E11" i="5" s="1"/>
  <c r="D10" i="5"/>
  <c r="C10" i="5"/>
  <c r="E10" i="5" s="1"/>
  <c r="D9" i="5"/>
  <c r="C9" i="5"/>
  <c r="E9" i="5" s="1"/>
  <c r="D8" i="5"/>
  <c r="C8" i="5"/>
  <c r="E8" i="5" s="1"/>
  <c r="D7" i="5"/>
  <c r="C7" i="5"/>
  <c r="E7" i="5" s="1"/>
  <c r="D6" i="5"/>
  <c r="C6" i="5"/>
  <c r="E6" i="5" s="1"/>
  <c r="D5" i="5"/>
  <c r="C5" i="5"/>
  <c r="E5" i="5" s="1"/>
  <c r="D4" i="5"/>
  <c r="C4" i="5"/>
  <c r="E4" i="5" s="1"/>
  <c r="D3" i="5"/>
  <c r="C3" i="5"/>
  <c r="E3" i="5" s="1"/>
  <c r="D2" i="5"/>
  <c r="C2" i="5"/>
  <c r="E2" i="5" s="1"/>
  <c r="R53" i="4"/>
  <c r="Q53" i="4"/>
  <c r="K53" i="4"/>
  <c r="R52" i="4"/>
  <c r="Q52" i="4"/>
  <c r="K52" i="4"/>
  <c r="R51" i="4"/>
  <c r="Q51" i="4"/>
  <c r="K51" i="4"/>
  <c r="R50" i="4"/>
  <c r="Q50" i="4"/>
  <c r="K50" i="4"/>
  <c r="R49" i="4"/>
  <c r="Q49" i="4"/>
  <c r="K49" i="4"/>
  <c r="R48" i="4"/>
  <c r="Q48" i="4"/>
  <c r="K48" i="4"/>
  <c r="R47" i="4"/>
  <c r="Q47" i="4"/>
  <c r="K47" i="4"/>
  <c r="R46" i="4"/>
  <c r="Q46" i="4"/>
  <c r="K46" i="4"/>
  <c r="R45" i="4"/>
  <c r="Q45" i="4"/>
  <c r="K45" i="4"/>
  <c r="R44" i="4"/>
  <c r="Q44" i="4"/>
  <c r="K44" i="4"/>
  <c r="R43" i="4"/>
  <c r="Q43" i="4"/>
  <c r="K43" i="4"/>
  <c r="R42" i="4"/>
  <c r="Q42" i="4"/>
  <c r="K42" i="4"/>
  <c r="R41" i="4"/>
  <c r="Q41" i="4"/>
  <c r="K41" i="4"/>
  <c r="R40" i="4"/>
  <c r="Q40" i="4"/>
  <c r="K40" i="4"/>
  <c r="R39" i="4"/>
  <c r="Q39" i="4"/>
  <c r="K39" i="4"/>
  <c r="R38" i="4"/>
  <c r="Q38" i="4"/>
  <c r="K38" i="4"/>
  <c r="R37" i="4"/>
  <c r="Q37" i="4"/>
  <c r="K37" i="4"/>
  <c r="R36" i="4"/>
  <c r="Q36" i="4"/>
  <c r="K36" i="4"/>
  <c r="R35" i="4"/>
  <c r="Q35" i="4"/>
  <c r="K35" i="4"/>
  <c r="R34" i="4"/>
  <c r="Q34" i="4"/>
  <c r="K34" i="4"/>
  <c r="R33" i="4"/>
  <c r="Q33" i="4"/>
  <c r="K33" i="4"/>
  <c r="R32" i="4"/>
  <c r="Q32" i="4"/>
  <c r="K32" i="4"/>
  <c r="R31" i="4"/>
  <c r="Q31" i="4"/>
  <c r="K31" i="4"/>
  <c r="R30" i="4"/>
  <c r="Q30" i="4"/>
  <c r="K30" i="4"/>
  <c r="R29" i="4"/>
  <c r="Q29" i="4"/>
  <c r="K29" i="4"/>
  <c r="R28" i="4"/>
  <c r="Q28" i="4"/>
  <c r="K28" i="4"/>
  <c r="R27" i="4"/>
  <c r="Q27" i="4"/>
  <c r="K27" i="4"/>
  <c r="R26" i="4"/>
  <c r="Q26" i="4"/>
  <c r="K26" i="4"/>
  <c r="R25" i="4"/>
  <c r="Q25" i="4"/>
  <c r="K25" i="4"/>
  <c r="R24" i="4"/>
  <c r="Q24" i="4"/>
  <c r="K24" i="4"/>
  <c r="R23" i="4"/>
  <c r="Q23" i="4"/>
  <c r="K23" i="4"/>
  <c r="R22" i="4"/>
  <c r="Q22" i="4"/>
  <c r="L22" i="1" s="1"/>
  <c r="K22" i="4"/>
  <c r="R21" i="4"/>
  <c r="Q21" i="4"/>
  <c r="L21" i="1" s="1"/>
  <c r="K21" i="4"/>
  <c r="R20" i="4"/>
  <c r="Q20" i="4"/>
  <c r="C20" i="1" s="1"/>
  <c r="K20" i="4"/>
  <c r="R19" i="4"/>
  <c r="Q19" i="4"/>
  <c r="L19" i="1" s="1"/>
  <c r="K19" i="4"/>
  <c r="R18" i="4"/>
  <c r="Q18" i="4"/>
  <c r="C18" i="1" s="1"/>
  <c r="K18" i="4"/>
  <c r="R17" i="4"/>
  <c r="Q17" i="4"/>
  <c r="C17" i="1" s="1"/>
  <c r="K17" i="4"/>
  <c r="R16" i="4"/>
  <c r="Q16" i="4"/>
  <c r="A16" i="1" s="1"/>
  <c r="K16" i="4"/>
  <c r="R15" i="4"/>
  <c r="Q15" i="4"/>
  <c r="C15" i="1" s="1"/>
  <c r="K15" i="4"/>
  <c r="R14" i="4"/>
  <c r="Q14" i="4"/>
  <c r="L14" i="1" s="1"/>
  <c r="K14" i="4"/>
  <c r="R13" i="4"/>
  <c r="Q13" i="4"/>
  <c r="K13" i="4"/>
  <c r="R12" i="4"/>
  <c r="Q12" i="4"/>
  <c r="K12" i="4"/>
  <c r="R11" i="4"/>
  <c r="Q11" i="4"/>
  <c r="K11" i="4"/>
  <c r="R10" i="4"/>
  <c r="Q10" i="4"/>
  <c r="K10" i="4"/>
  <c r="R9" i="4"/>
  <c r="Q9" i="4"/>
  <c r="K9" i="4"/>
  <c r="R8" i="4"/>
  <c r="Q8" i="4"/>
  <c r="K8" i="4"/>
  <c r="A6" i="1"/>
  <c r="A2" i="1"/>
  <c r="F18" i="1" l="1"/>
  <c r="H18" i="1"/>
  <c r="J18" i="1"/>
  <c r="L18" i="1"/>
  <c r="C19" i="1"/>
  <c r="F19" i="1"/>
  <c r="F15" i="1"/>
  <c r="H19" i="1"/>
  <c r="H15" i="1"/>
  <c r="J15" i="1"/>
  <c r="L15" i="1"/>
  <c r="J19" i="1"/>
  <c r="C22" i="1"/>
  <c r="H22" i="1"/>
  <c r="H16" i="1"/>
  <c r="A22" i="1"/>
  <c r="J22" i="1"/>
  <c r="F22" i="1"/>
  <c r="A15" i="1"/>
  <c r="A19" i="1"/>
  <c r="J16" i="1"/>
  <c r="L16" i="1"/>
  <c r="C16" i="1"/>
  <c r="F16" i="1"/>
  <c r="C21" i="1"/>
  <c r="L20" i="1"/>
  <c r="A14" i="1"/>
  <c r="F17" i="1"/>
  <c r="H17" i="1"/>
  <c r="J17" i="1"/>
  <c r="A18" i="1"/>
  <c r="J20" i="1"/>
  <c r="F21" i="1"/>
  <c r="A21" i="1"/>
  <c r="H13" i="1"/>
  <c r="C14" i="1"/>
  <c r="H14" i="1"/>
  <c r="F14" i="1"/>
  <c r="A13" i="1"/>
  <c r="L17" i="1"/>
  <c r="J13" i="1"/>
  <c r="A17" i="1"/>
  <c r="F20" i="1"/>
  <c r="L13" i="1"/>
  <c r="H20" i="1"/>
  <c r="J14" i="1"/>
  <c r="C13" i="1"/>
  <c r="H21" i="1"/>
  <c r="F13" i="1"/>
  <c r="A20" i="1"/>
  <c r="J21" i="1"/>
  <c r="G26" i="1" l="1"/>
  <c r="I26" i="1"/>
  <c r="E26" i="1"/>
  <c r="G6" i="1"/>
  <c r="K6" i="1"/>
  <c r="C6" i="1"/>
  <c r="M6" i="1"/>
  <c r="E6" i="1"/>
  <c r="K26" i="1"/>
  <c r="I6" i="1"/>
  <c r="A26" i="1"/>
  <c r="C26" i="1"/>
</calcChain>
</file>

<file path=xl/sharedStrings.xml><?xml version="1.0" encoding="utf-8"?>
<sst xmlns="http://schemas.openxmlformats.org/spreadsheetml/2006/main" count="240" uniqueCount="171">
  <si>
    <t>TENANT MANAGEMENT DASHBOARD</t>
  </si>
  <si>
    <t xml:space="preserve">  KEY PERFORMANCE INDICATORS</t>
  </si>
  <si>
    <t>TOTAL UNITS</t>
  </si>
  <si>
    <t>ACTIVE LEASES</t>
  </si>
  <si>
    <t>EXPIRING &lt;= 30 DAYS</t>
  </si>
  <si>
    <t>EXPIRED</t>
  </si>
  <si>
    <t>TOTAL MONTHLY RENT</t>
  </si>
  <si>
    <t>TOTAL ANNUAL RENT</t>
  </si>
  <si>
    <t>OCCUPANCY RATE</t>
  </si>
  <si>
    <t>Registered tenants</t>
  </si>
  <si>
    <t>Currently running</t>
  </si>
  <si>
    <t>Urgent renewals needed</t>
  </si>
  <si>
    <t>Requires action</t>
  </si>
  <si>
    <t>Active leases (GHS)</t>
  </si>
  <si>
    <t>Projected full year (GHS)</t>
  </si>
  <si>
    <t>Active / Total registered</t>
  </si>
  <si>
    <t xml:space="preserve">  EXPIRY WATCH  -  Leases expiring within 90 days</t>
  </si>
  <si>
    <t>Tenant ID</t>
  </si>
  <si>
    <t>Tenant Name</t>
  </si>
  <si>
    <t>Unit No.</t>
  </si>
  <si>
    <t>Lease End</t>
  </si>
  <si>
    <t>Days Left</t>
  </si>
  <si>
    <t>Status</t>
  </si>
  <si>
    <t xml:space="preserve">  PORTFOLIO OVERVIEW  -  Lease status breakdown</t>
  </si>
  <si>
    <t>Active</t>
  </si>
  <si>
    <t>Active - Review</t>
  </si>
  <si>
    <t>Expiring Soon</t>
  </si>
  <si>
    <t>Expired</t>
  </si>
  <si>
    <t>Terminated</t>
  </si>
  <si>
    <t>Vacant</t>
  </si>
  <si>
    <t xml:space="preserve">  HOW TO USE THIS WORKBOOK</t>
  </si>
  <si>
    <t>1</t>
  </si>
  <si>
    <t>Use the TENANT FORM sheet to enter a new tenant's details in the yellow cells, then copy the row into TENANTS (or use Add once macros are enabled).</t>
  </si>
  <si>
    <t>2</t>
  </si>
  <si>
    <t>Go to the AGREEMENTS sheet to record each lease agreement. Add a new row for each renewal - do NOT overwrite old rows.</t>
  </si>
  <si>
    <t>3</t>
  </si>
  <si>
    <t>The DASHBOARD updates automatically. The Expiry Watch section shows the soonest-expiring leases within 90 days.</t>
  </si>
  <si>
    <t>4</t>
  </si>
  <si>
    <t>Status is automatic: Active -&gt; Expiring Soon (&lt;=30 days) -&gt; Expired. 'Active - Review' means the lease ends within 3 months.</t>
  </si>
  <si>
    <t>5</t>
  </si>
  <si>
    <t>For a renewal: add a new row in AGREEMENTS with 'Renewal?' = Yes, Renewal No. = 1 (or 2 for second renewal). Update the Lease End date in TENANTS.</t>
  </si>
  <si>
    <t>6</t>
  </si>
  <si>
    <t>Yellow cells = you fill in - Blue-text cells = formula, do not edit - Drop-down arrows appear when you click a cell in the relevant columns.</t>
  </si>
  <si>
    <t>List Name</t>
  </si>
  <si>
    <t>Values</t>
  </si>
  <si>
    <t>UnitTypes</t>
  </si>
  <si>
    <t>Apartment</t>
  </si>
  <si>
    <t>Office</t>
  </si>
  <si>
    <t>Shop</t>
  </si>
  <si>
    <t>Warehouse</t>
  </si>
  <si>
    <t>Studio</t>
  </si>
  <si>
    <t>Penthouse</t>
  </si>
  <si>
    <t>Other</t>
  </si>
  <si>
    <t>StatusList</t>
  </si>
  <si>
    <t>Pending</t>
  </si>
  <si>
    <t>FreqList</t>
  </si>
  <si>
    <t>Monthly</t>
  </si>
  <si>
    <t>Quarterly</t>
  </si>
  <si>
    <t>Semi-Annual</t>
  </si>
  <si>
    <t>Annual</t>
  </si>
  <si>
    <t>Currency</t>
  </si>
  <si>
    <t>GHS</t>
  </si>
  <si>
    <t>USD</t>
  </si>
  <si>
    <t>GBP</t>
  </si>
  <si>
    <t>EUR</t>
  </si>
  <si>
    <t>NGN</t>
  </si>
  <si>
    <t>PayMethod</t>
  </si>
  <si>
    <t>Cash</t>
  </si>
  <si>
    <t>Bank Transfer</t>
  </si>
  <si>
    <t>Mobile Money</t>
  </si>
  <si>
    <t>Cheque</t>
  </si>
  <si>
    <t>Standing Order</t>
  </si>
  <si>
    <t>YesNo</t>
  </si>
  <si>
    <t>Yes</t>
  </si>
  <si>
    <t>No</t>
  </si>
  <si>
    <t>SearchFilter</t>
  </si>
  <si>
    <t>All</t>
  </si>
  <si>
    <t>Tenant Database</t>
  </si>
  <si>
    <t>Frame1</t>
  </si>
  <si>
    <t>T-001</t>
  </si>
  <si>
    <t>Contract Start</t>
  </si>
  <si>
    <t>Emergency Contact</t>
  </si>
  <si>
    <t>Full Name / Company</t>
  </si>
  <si>
    <t>Contract End</t>
  </si>
  <si>
    <t>Relationship</t>
  </si>
  <si>
    <t>Phone</t>
  </si>
  <si>
    <t>Monthly Rent</t>
  </si>
  <si>
    <t>Emergency Phone</t>
  </si>
  <si>
    <t>Email</t>
  </si>
  <si>
    <t>Tenant ID photo / lease scan</t>
  </si>
  <si>
    <t>ID / Reg No.</t>
  </si>
  <si>
    <t>Payment Frequency</t>
  </si>
  <si>
    <t>Unit Number</t>
  </si>
  <si>
    <t>Deposit Paid</t>
  </si>
  <si>
    <t>Unit Type</t>
  </si>
  <si>
    <t>Payment Method</t>
  </si>
  <si>
    <t>Floor / Block</t>
  </si>
  <si>
    <t>Residential Address</t>
  </si>
  <si>
    <t>Upload Document</t>
  </si>
  <si>
    <t>Search</t>
  </si>
  <si>
    <t>Database</t>
  </si>
  <si>
    <t>Name</t>
  </si>
  <si>
    <t>Unit</t>
  </si>
  <si>
    <t>Rent</t>
  </si>
  <si>
    <t>Address</t>
  </si>
  <si>
    <t>Add</t>
  </si>
  <si>
    <t>Update</t>
  </si>
  <si>
    <t>Delete</t>
  </si>
  <si>
    <t>Reset</t>
  </si>
  <si>
    <t>Close</t>
  </si>
  <si>
    <t>Fill the yellow cells, then use Add to append a new tenant to the TENANTS sheet, or Update / Delete for the selected row.</t>
  </si>
  <si>
    <t>TENANT REGISTER</t>
  </si>
  <si>
    <t>Yellow cells = data entry - Blue text = formula (do not edit) - Status updates automatically</t>
  </si>
  <si>
    <t>Term (months)</t>
  </si>
  <si>
    <t>Payment Freq.</t>
  </si>
  <si>
    <t>Days to Expiry</t>
  </si>
  <si>
    <t>Kwame Mensah Enterprises</t>
  </si>
  <si>
    <t>A-101</t>
  </si>
  <si>
    <t>T-002</t>
  </si>
  <si>
    <t>Simeon Boison</t>
  </si>
  <si>
    <t>simeonb@example.com</t>
  </si>
  <si>
    <t>GH-0022341</t>
  </si>
  <si>
    <t>B-204</t>
  </si>
  <si>
    <t>2nd / Block B</t>
  </si>
  <si>
    <t>Yaw Boison</t>
  </si>
  <si>
    <t>Brother</t>
  </si>
  <si>
    <t>5 Adum Street, Kumasi</t>
  </si>
  <si>
    <t>T-003</t>
  </si>
  <si>
    <t>Benjamin Darko</t>
  </si>
  <si>
    <t>dynamicdb2541@gmail.com</t>
  </si>
  <si>
    <t>GH-0033452</t>
  </si>
  <si>
    <t>C-010</t>
  </si>
  <si>
    <t>Ground / Block C</t>
  </si>
  <si>
    <t>Grace Darko</t>
  </si>
  <si>
    <t>Sister</t>
  </si>
  <si>
    <t>22 Tafo Road, Kumasi</t>
  </si>
  <si>
    <t>Room No</t>
  </si>
  <si>
    <t>RM-01</t>
  </si>
  <si>
    <t>RM-02</t>
  </si>
  <si>
    <t>RM-03</t>
  </si>
  <si>
    <t>RM-04</t>
  </si>
  <si>
    <t>RM-05</t>
  </si>
  <si>
    <t>RM-06</t>
  </si>
  <si>
    <t>RM-07</t>
  </si>
  <si>
    <t>RM-08</t>
  </si>
  <si>
    <t>RM-09</t>
  </si>
  <si>
    <t>RM-10</t>
  </si>
  <si>
    <t>RM-11</t>
  </si>
  <si>
    <t>RM-12</t>
  </si>
  <si>
    <t>LEASE AGREEMENTS &amp; RENEWALS</t>
  </si>
  <si>
    <t>Each row = one agreement period. A renewed lease gets a new row. Link Tenant ID to the TENANTS sheet.</t>
  </si>
  <si>
    <t>Agr. ID</t>
  </si>
  <si>
    <t>Original Start</t>
  </si>
  <si>
    <t>Lease Start</t>
  </si>
  <si>
    <t>Renewal?</t>
  </si>
  <si>
    <t>Renewal No.</t>
  </si>
  <si>
    <t>Previous Agr. Ref</t>
  </si>
  <si>
    <t>Annual Rent</t>
  </si>
  <si>
    <t>Rent Increment%</t>
  </si>
  <si>
    <t>Next Review Date</t>
  </si>
  <si>
    <t>Notes</t>
  </si>
  <si>
    <t>AGR-001</t>
  </si>
  <si>
    <t>T-004</t>
  </si>
  <si>
    <t>/Users/brightyeboah-akowuah/TenantManager/TenantImages/T-003.png</t>
  </si>
  <si>
    <t>/Users/brightyeboah-akowuah/TenantManager/TenantImages/T-002.png</t>
  </si>
  <si>
    <t>Washington ABOR</t>
  </si>
  <si>
    <t>Room 3 Main</t>
  </si>
  <si>
    <t>Single Room</t>
  </si>
  <si>
    <t>/Users/brightyeboah-akowuah/TenantManager/TenantDocuments/Signatures/T-002_Signature.png</t>
  </si>
  <si>
    <t>AGR-002</t>
  </si>
  <si>
    <t>9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</si>
</sst>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%"/>
  </numFmts>
  <fonts count="24" x14ac:knownFonts="1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sz val="10"/>
      <color rgb="FF00008B"/>
      <name val="Arial"/>
      <family val="2"/>
    </font>
    <font>
      <i/>
      <sz val="9"/>
      <color rgb="FF566573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8"/>
      <color rgb="FF566573"/>
      <name val="Arial"/>
      <family val="2"/>
    </font>
    <font>
      <b/>
      <sz val="14"/>
      <color rgb="FFFFFFFF"/>
      <name val="Arial"/>
      <family val="2"/>
    </font>
    <font>
      <i/>
      <sz val="9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8B"/>
      <name val="Arial"/>
      <family val="2"/>
    </font>
    <font>
      <sz val="9"/>
      <color rgb="FF1A5276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8"/>
      <color rgb="FFFFFFFF"/>
      <name val="Arial"/>
      <family val="2"/>
    </font>
    <font>
      <b/>
      <sz val="20"/>
      <color rgb="FFFFFFFF"/>
      <name val="Arial"/>
      <family val="2"/>
    </font>
    <font>
      <i/>
      <sz val="8"/>
      <color rgb="FFFFFFFF"/>
      <name val="Arial"/>
      <family val="2"/>
    </font>
    <font>
      <b/>
      <sz val="9"/>
      <color rgb="FFE67E22"/>
      <name val="Arial"/>
      <family val="2"/>
    </font>
    <font>
      <b/>
      <sz val="18"/>
      <color rgb="FFFFFFFF"/>
      <name val="Arial"/>
      <family val="2"/>
    </font>
    <font>
      <b/>
      <sz val="18"/>
      <color rgb="FF000000"/>
      <name val="Arial"/>
      <family val="2"/>
    </font>
    <font>
      <b/>
      <sz val="10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8D7CE"/>
      </patternFill>
    </fill>
    <fill>
      <patternFill patternType="solid">
        <fgColor rgb="FF566573"/>
      </patternFill>
    </fill>
    <fill>
      <patternFill patternType="solid">
        <fgColor rgb="FFFDEBD5"/>
      </patternFill>
    </fill>
    <fill>
      <patternFill patternType="solid">
        <fgColor rgb="FFF8F9FA"/>
      </patternFill>
    </fill>
    <fill>
      <patternFill patternType="solid">
        <fgColor rgb="FFFFF9C4"/>
      </patternFill>
    </fill>
    <fill>
      <patternFill patternType="solid">
        <fgColor rgb="FFEDEDED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6EAF8"/>
      </patternFill>
    </fill>
    <fill>
      <patternFill patternType="solid">
        <fgColor rgb="FF17A589"/>
      </patternFill>
    </fill>
    <fill>
      <patternFill patternType="solid">
        <fgColor rgb="FFE67E22"/>
      </patternFill>
    </fill>
    <fill>
      <patternFill patternType="solid">
        <fgColor rgb="FFE74C3C"/>
      </patternFill>
    </fill>
    <fill>
      <patternFill patternType="solid">
        <fgColor rgb="FF1E8449"/>
      </patternFill>
    </fill>
    <fill>
      <patternFill patternType="solid">
        <fgColor rgb="FF0D6E4E"/>
      </patternFill>
    </fill>
    <fill>
      <patternFill patternType="solid">
        <fgColor rgb="FFBFC9CA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thin">
        <color rgb="FFBFC9CA"/>
      </bottom>
      <diagonal/>
    </border>
    <border>
      <left style="thin">
        <color rgb="FFBFC9CA"/>
      </left>
      <right style="thin">
        <color rgb="FFBFC9CA"/>
      </right>
      <top style="thin">
        <color rgb="FFBFC9CA"/>
      </top>
      <bottom style="medium">
        <color rgb="FF1F38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3" fillId="12" borderId="3" xfId="0" applyFont="1" applyFill="1" applyBorder="1" applyAlignment="1">
      <alignment horizontal="center" vertical="center"/>
    </xf>
    <xf numFmtId="0" fontId="0" fillId="2" borderId="0" xfId="0" applyFill="1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164" fontId="4" fillId="6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4" fontId="4" fillId="6" borderId="1" xfId="0" applyNumberFormat="1" applyFont="1" applyFill="1" applyBorder="1" applyAlignment="1">
      <alignment horizontal="left" vertical="center"/>
    </xf>
    <xf numFmtId="0" fontId="7" fillId="9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left" vertical="center"/>
    </xf>
    <xf numFmtId="4" fontId="8" fillId="8" borderId="3" xfId="0" applyNumberFormat="1" applyFont="1" applyFill="1" applyBorder="1" applyAlignment="1">
      <alignment horizontal="left" vertical="center"/>
    </xf>
    <xf numFmtId="164" fontId="8" fillId="8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4" fontId="8" fillId="5" borderId="3" xfId="0" applyNumberFormat="1" applyFont="1" applyFill="1" applyBorder="1" applyAlignment="1">
      <alignment horizontal="left" vertical="center"/>
    </xf>
    <xf numFmtId="164" fontId="8" fillId="5" borderId="3" xfId="0" applyNumberFormat="1" applyFont="1" applyFill="1" applyBorder="1" applyAlignment="1">
      <alignment horizontal="left" vertical="center"/>
    </xf>
    <xf numFmtId="0" fontId="12" fillId="10" borderId="4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left" vertical="center"/>
    </xf>
    <xf numFmtId="164" fontId="13" fillId="6" borderId="3" xfId="0" applyNumberFormat="1" applyFont="1" applyFill="1" applyBorder="1" applyAlignment="1">
      <alignment horizontal="left" vertical="center"/>
    </xf>
    <xf numFmtId="0" fontId="14" fillId="11" borderId="3" xfId="0" applyFont="1" applyFill="1" applyBorder="1" applyAlignment="1">
      <alignment horizontal="center" vertical="center"/>
    </xf>
    <xf numFmtId="4" fontId="13" fillId="6" borderId="3" xfId="0" applyNumberFormat="1" applyFont="1" applyFill="1" applyBorder="1" applyAlignment="1">
      <alignment horizontal="left" vertical="center"/>
    </xf>
    <xf numFmtId="1" fontId="14" fillId="11" borderId="3" xfId="0" applyNumberFormat="1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4" fontId="14" fillId="11" borderId="3" xfId="0" applyNumberFormat="1" applyFont="1" applyFill="1" applyBorder="1" applyAlignment="1">
      <alignment horizontal="center" vertical="center"/>
    </xf>
    <xf numFmtId="165" fontId="13" fillId="6" borderId="3" xfId="0" applyNumberFormat="1" applyFont="1" applyFill="1" applyBorder="1" applyAlignment="1">
      <alignment horizontal="left" vertical="center"/>
    </xf>
    <xf numFmtId="164" fontId="14" fillId="11" borderId="3" xfId="0" applyNumberFormat="1" applyFont="1" applyFill="1" applyBorder="1" applyAlignment="1">
      <alignment horizontal="center" vertical="center"/>
    </xf>
    <xf numFmtId="165" fontId="8" fillId="8" borderId="3" xfId="0" applyNumberFormat="1" applyFont="1" applyFill="1" applyBorder="1" applyAlignment="1">
      <alignment horizontal="left" vertical="center"/>
    </xf>
    <xf numFmtId="165" fontId="8" fillId="5" borderId="3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18" borderId="0" xfId="0" applyFill="1"/>
    <xf numFmtId="2" fontId="5" fillId="18" borderId="1" xfId="0" applyNumberFormat="1" applyFont="1" applyFill="1" applyBorder="1" applyAlignment="1">
      <alignment horizontal="center" vertical="center" wrapText="1"/>
    </xf>
    <xf numFmtId="2" fontId="0" fillId="18" borderId="0" xfId="0" applyNumberFormat="1" applyFill="1"/>
    <xf numFmtId="0" fontId="8" fillId="5" borderId="3" xfId="0" applyFont="1" applyFill="1" applyBorder="1" applyAlignment="1">
      <alignment horizontal="left" vertical="center" wrapText="1"/>
    </xf>
    <xf numFmtId="0" fontId="0" fillId="0" borderId="0" xfId="0"/>
    <xf numFmtId="164" fontId="8" fillId="5" borderId="3" xfId="0" applyNumberFormat="1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8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12" fillId="15" borderId="3" xfId="0" applyFont="1" applyFill="1" applyBorder="1" applyAlignment="1">
      <alignment horizontal="center" vertical="center"/>
    </xf>
    <xf numFmtId="0" fontId="12" fillId="16" borderId="3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4" borderId="3" xfId="0" applyFont="1" applyFill="1" applyBorder="1" applyAlignment="1">
      <alignment horizontal="center" vertical="center"/>
    </xf>
    <xf numFmtId="0" fontId="7" fillId="8" borderId="3" xfId="0" applyFont="1" applyFill="1" applyBorder="1"/>
    <xf numFmtId="0" fontId="7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22" fillId="17" borderId="3" xfId="0" applyFont="1" applyFill="1" applyBorder="1" applyAlignment="1">
      <alignment horizontal="center" vertical="center"/>
    </xf>
    <xf numFmtId="0" fontId="7" fillId="5" borderId="3" xfId="0" applyFont="1" applyFill="1" applyBorder="1"/>
    <xf numFmtId="0" fontId="16" fillId="3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165" fontId="18" fillId="10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8" fillId="8" borderId="3" xfId="0" applyFont="1" applyFill="1" applyBorder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left" vertical="center"/>
    </xf>
    <xf numFmtId="0" fontId="12" fillId="13" borderId="3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19" fillId="14" borderId="0" xfId="0" applyFont="1" applyFill="1" applyAlignment="1">
      <alignment horizontal="center" vertical="center"/>
    </xf>
    <xf numFmtId="0" fontId="19" fillId="1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3" fontId="18" fillId="15" borderId="0" xfId="0" applyNumberFormat="1" applyFont="1" applyFill="1" applyAlignment="1">
      <alignment horizontal="center" vertical="center"/>
    </xf>
    <xf numFmtId="3" fontId="18" fillId="16" borderId="0" xfId="0" applyNumberFormat="1" applyFont="1" applyFill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17" fillId="1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21" fillId="15" borderId="3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2" fillId="3" borderId="3" xfId="0" applyFont="1" applyFill="1" applyBorder="1" applyAlignment="1">
      <alignment horizontal="center" vertical="center"/>
    </xf>
    <xf numFmtId="0" fontId="7" fillId="17" borderId="3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2" fillId="2" borderId="0" xfId="0" applyFont="1" applyFill="1"/>
    <xf numFmtId="0" fontId="11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</cellXfs>
  <cellStyles count="1">
    <cellStyle name="Normal" xfId="0" builtinId="0"/>
  </cellStyles>
  <dxfs count="6">
    <dxf>
      <font>
        <b/>
        <sz val="10"/>
        <color rgb="FF17A589"/>
        <name val="Arial"/>
      </font>
      <fill>
        <patternFill patternType="solid">
          <fgColor rgb="FFD1F2EB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1E8449"/>
        <name val="Arial"/>
      </font>
      <fill>
        <patternFill patternType="solid">
          <fgColor rgb="FFD5F5E3"/>
        </patternFill>
      </fill>
    </dxf>
    <dxf>
      <font>
        <b/>
        <sz val="10"/>
        <color rgb="FFE67E22"/>
        <name val="Arial"/>
      </font>
      <fill>
        <patternFill patternType="solid">
          <fgColor rgb="FFFDEBD0"/>
        </patternFill>
      </fill>
    </dxf>
    <dxf>
      <font>
        <b/>
        <sz val="10"/>
        <color rgb="FFE74C3C"/>
        <name val="Arial"/>
      </font>
      <fill>
        <patternFill patternType="solid">
          <fgColor rgb="FFFADBD8"/>
        </patternFill>
      </fill>
    </dxf>
  </dxfs>
  <tableStyles count="0" defaultTableStyle="TableStyleMedium9" defaultPivotStyle="PivotStyleLight16"/>
  <colors>
    <mruColors>
      <color rgb="FF00BC00"/>
      <color rgb="FFF7F7F7"/>
      <color rgb="FF1717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50800</xdr:colOff>
      <xdr:row>19</xdr:row>
      <xdr:rowOff>165100</xdr:rowOff>
    </xdr:from>
    <xdr:to>
      <xdr:col>11</xdr:col>
      <xdr:colOff>63500</xdr:colOff>
      <xdr:row>21</xdr:row>
      <xdr:rowOff>177800</xdr:rowOff>
    </xdr:to>
    <xdr:sp macro="[0]!OpenDocument" textlink="">
      <xdr:nvSpPr>
        <xdr:cNvPr id="3" name="Rectangle 2">
          <a:extLst>
            <a:ext uri="{FF2B5EF4-FFF2-40B4-BE49-F238E27FC236}">
              <a16:creationId xmlns:a16="http://schemas.microsoft.com/office/drawing/2014/main" id="{70E012E0-AC00-2D25-F73D-3F9DDEF40B3F}"/>
            </a:ext>
          </a:extLst>
        </xdr:cNvPr>
        <xdr:cNvSpPr/>
      </xdr:nvSpPr>
      <xdr:spPr>
        <a:xfrm>
          <a:off x="13081000" y="4051300"/>
          <a:ext cx="1384300" cy="3937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>
              <a:solidFill>
                <a:srgbClr val="171717"/>
              </a:solidFill>
            </a:rPr>
            <a:t>Open  Document</a:t>
          </a:r>
        </a:p>
        <a:p>
          <a:pPr algn="l"/>
          <a:endParaRPr lang="en-GB" sz="1100"/>
        </a:p>
      </xdr:txBody>
    </xdr:sp>
    <xdr:clientData/>
  </xdr:twoCellAnchor>
  <xdr:twoCellAnchor>
    <xdr:from>
      <xdr:col>9</xdr:col>
      <xdr:colOff>800100</xdr:colOff>
      <xdr:row>10</xdr:row>
      <xdr:rowOff>76200</xdr:rowOff>
    </xdr:from>
    <xdr:to>
      <xdr:col>10</xdr:col>
      <xdr:colOff>1308100</xdr:colOff>
      <xdr:row>17</xdr:row>
      <xdr:rowOff>127000</xdr:rowOff>
    </xdr:to>
    <xdr:sp macro="" textlink="">
      <xdr:nvSpPr>
        <xdr:cNvPr id="55" name="imgPlaceholder">
          <a:extLst>
            <a:ext uri="{FF2B5EF4-FFF2-40B4-BE49-F238E27FC236}">
              <a16:creationId xmlns:a16="http://schemas.microsoft.com/office/drawing/2014/main" id="{73128E45-7399-E644-AD91-D3D49220BFE7}"/>
            </a:ext>
          </a:extLst>
        </xdr:cNvPr>
        <xdr:cNvSpPr/>
      </xdr:nvSpPr>
      <xdr:spPr>
        <a:xfrm>
          <a:off x="12763500" y="2247900"/>
          <a:ext cx="1574800" cy="161290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tx1"/>
              </a:solidFill>
            </a:rPr>
            <a:t>imgPlaceholder</a:t>
          </a:r>
        </a:p>
      </xdr:txBody>
    </xdr:sp>
    <xdr:clientData/>
  </xdr:twoCellAnchor>
  <xdr:twoCellAnchor>
    <xdr:from>
      <xdr:col>9</xdr:col>
      <xdr:colOff>1054100</xdr:colOff>
      <xdr:row>23</xdr:row>
      <xdr:rowOff>139700</xdr:rowOff>
    </xdr:from>
    <xdr:to>
      <xdr:col>11</xdr:col>
      <xdr:colOff>38100</xdr:colOff>
      <xdr:row>25</xdr:row>
      <xdr:rowOff>25400</xdr:rowOff>
    </xdr:to>
    <xdr:sp macro="[0]!RemoveTenantPhoto" textlink="">
      <xdr:nvSpPr>
        <xdr:cNvPr id="56" name="RemovePhoto">
          <a:extLst>
            <a:ext uri="{FF2B5EF4-FFF2-40B4-BE49-F238E27FC236}">
              <a16:creationId xmlns:a16="http://schemas.microsoft.com/office/drawing/2014/main" id="{C1DE0EF5-0388-2641-9A2F-931E1B218E55}"/>
            </a:ext>
          </a:extLst>
        </xdr:cNvPr>
        <xdr:cNvSpPr/>
      </xdr:nvSpPr>
      <xdr:spPr>
        <a:xfrm>
          <a:off x="13017500" y="4787900"/>
          <a:ext cx="14224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aseline="0">
              <a:solidFill>
                <a:srgbClr val="F7F7F7"/>
              </a:solidFill>
            </a:rPr>
            <a:t>  RemovePhoto</a:t>
          </a:r>
          <a:endParaRPr lang="en-GB" sz="1100">
            <a:solidFill>
              <a:srgbClr val="F7F7F7"/>
            </a:solidFill>
          </a:endParaRPr>
        </a:p>
      </xdr:txBody>
    </xdr:sp>
    <xdr:clientData/>
  </xdr:twoCellAnchor>
  <xdr:twoCellAnchor>
    <xdr:from>
      <xdr:col>8</xdr:col>
      <xdr:colOff>406400</xdr:colOff>
      <xdr:row>26</xdr:row>
      <xdr:rowOff>38100</xdr:rowOff>
    </xdr:from>
    <xdr:to>
      <xdr:col>8</xdr:col>
      <xdr:colOff>1549400</xdr:colOff>
      <xdr:row>27</xdr:row>
      <xdr:rowOff>165100</xdr:rowOff>
    </xdr:to>
    <xdr:sp macro="[0]!OpenIDCard" textlink="">
      <xdr:nvSpPr>
        <xdr:cNvPr id="5" name="OpenID">
          <a:extLst>
            <a:ext uri="{FF2B5EF4-FFF2-40B4-BE49-F238E27FC236}">
              <a16:creationId xmlns:a16="http://schemas.microsoft.com/office/drawing/2014/main" id="{B244FC1A-F103-DC4C-CE1F-37AD04EB3555}"/>
            </a:ext>
          </a:extLst>
        </xdr:cNvPr>
        <xdr:cNvSpPr/>
      </xdr:nvSpPr>
      <xdr:spPr>
        <a:xfrm>
          <a:off x="10541000" y="5359400"/>
          <a:ext cx="1143000" cy="3175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Ins="274320" bIns="182880" rtlCol="0" anchor="t"/>
        <a:lstStyle/>
        <a:p>
          <a:pPr algn="l"/>
          <a:r>
            <a:rPr lang="en-GB" sz="1100"/>
            <a:t>OpenID</a:t>
          </a:r>
        </a:p>
        <a:p>
          <a:pPr algn="l"/>
          <a:endParaRPr lang="en-GB" sz="1100"/>
        </a:p>
      </xdr:txBody>
    </xdr:sp>
    <xdr:clientData/>
  </xdr:twoCellAnchor>
  <xdr:twoCellAnchor>
    <xdr:from>
      <xdr:col>10</xdr:col>
      <xdr:colOff>876300</xdr:colOff>
      <xdr:row>26</xdr:row>
      <xdr:rowOff>50800</xdr:rowOff>
    </xdr:from>
    <xdr:to>
      <xdr:col>11</xdr:col>
      <xdr:colOff>762000</xdr:colOff>
      <xdr:row>27</xdr:row>
      <xdr:rowOff>177800</xdr:rowOff>
    </xdr:to>
    <xdr:sp macro="[0]!OpenSignature" textlink="">
      <xdr:nvSpPr>
        <xdr:cNvPr id="7" name="Rounded Rectangle 6">
          <a:extLst>
            <a:ext uri="{FF2B5EF4-FFF2-40B4-BE49-F238E27FC236}">
              <a16:creationId xmlns:a16="http://schemas.microsoft.com/office/drawing/2014/main" id="{D3A2427D-5909-D749-BE1C-AA10782347B9}"/>
            </a:ext>
          </a:extLst>
        </xdr:cNvPr>
        <xdr:cNvSpPr/>
      </xdr:nvSpPr>
      <xdr:spPr>
        <a:xfrm>
          <a:off x="13906500" y="5626100"/>
          <a:ext cx="1257300" cy="317500"/>
        </a:xfrm>
        <a:prstGeom prst="roundRect">
          <a:avLst/>
        </a:prstGeom>
        <a:solidFill>
          <a:srgbClr val="00BC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Signature_Open</a:t>
          </a:r>
        </a:p>
        <a:p>
          <a:pPr algn="l"/>
          <a:endParaRPr lang="en-GB" sz="1100"/>
        </a:p>
      </xdr:txBody>
    </xdr:sp>
    <xdr:clientData/>
  </xdr:twoCellAnchor>
  <xdr:twoCellAnchor>
    <xdr:from>
      <xdr:col>6</xdr:col>
      <xdr:colOff>12700</xdr:colOff>
      <xdr:row>26</xdr:row>
      <xdr:rowOff>38100</xdr:rowOff>
    </xdr:from>
    <xdr:to>
      <xdr:col>7</xdr:col>
      <xdr:colOff>241300</xdr:colOff>
      <xdr:row>27</xdr:row>
      <xdr:rowOff>165100</xdr:rowOff>
    </xdr:to>
    <xdr:sp macro="[0]!UploadIDCard" textlink="">
      <xdr:nvSpPr>
        <xdr:cNvPr id="8" name="UploadID">
          <a:extLst>
            <a:ext uri="{FF2B5EF4-FFF2-40B4-BE49-F238E27FC236}">
              <a16:creationId xmlns:a16="http://schemas.microsoft.com/office/drawing/2014/main" id="{2955AA41-0DD3-FA14-141F-4C21A7A373C7}"/>
            </a:ext>
          </a:extLst>
        </xdr:cNvPr>
        <xdr:cNvSpPr/>
      </xdr:nvSpPr>
      <xdr:spPr>
        <a:xfrm>
          <a:off x="8013700" y="5359400"/>
          <a:ext cx="1143000" cy="317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>
              <a:solidFill>
                <a:schemeClr val="bg1"/>
              </a:solidFill>
            </a:rPr>
            <a:t>  UploadID</a:t>
          </a:r>
        </a:p>
        <a:p>
          <a:pPr algn="l"/>
          <a:endParaRPr lang="en-GB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254000</xdr:colOff>
      <xdr:row>26</xdr:row>
      <xdr:rowOff>88900</xdr:rowOff>
    </xdr:from>
    <xdr:to>
      <xdr:col>10</xdr:col>
      <xdr:colOff>444500</xdr:colOff>
      <xdr:row>28</xdr:row>
      <xdr:rowOff>25400</xdr:rowOff>
    </xdr:to>
    <xdr:sp macro="[0]!UploadSignature" textlink="">
      <xdr:nvSpPr>
        <xdr:cNvPr id="11" name="Rounded Rectangle 10">
          <a:extLst>
            <a:ext uri="{FF2B5EF4-FFF2-40B4-BE49-F238E27FC236}">
              <a16:creationId xmlns:a16="http://schemas.microsoft.com/office/drawing/2014/main" id="{F1BF8A49-4C69-9242-B94F-8ADBB77F1B77}"/>
            </a:ext>
          </a:extLst>
        </xdr:cNvPr>
        <xdr:cNvSpPr/>
      </xdr:nvSpPr>
      <xdr:spPr>
        <a:xfrm>
          <a:off x="12217400" y="5664200"/>
          <a:ext cx="1257300" cy="31750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Signature_Upload</a:t>
          </a:r>
        </a:p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N35"/>
  <sheetViews>
    <sheetView showGridLines="0" topLeftCell="A28" zoomScale="136" workbookViewId="0">
      <selection sqref="A1:N1"/>
    </sheetView>
  </sheetViews>
  <sheetFormatPr baseColWidth="10" defaultColWidth="8.83203125" defaultRowHeight="15" x14ac:dyDescent="0.2"/>
  <cols>
    <col min="1" max="14" width="14" customWidth="1"/>
  </cols>
  <sheetData>
    <row r="1" spans="1:14" ht="40" customHeight="1" x14ac:dyDescent="0.2">
      <c r="A1" s="63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</row>
    <row r="2" spans="1:14" ht="20" customHeight="1" x14ac:dyDescent="0.2">
      <c r="A2" s="50" t="str">
        <f ca="1">_xlfn.TEXTJOIN("  -  ",TRUE,"Report Date:",TEXT(TODAY(),"DD MMMM YYYY"))</f>
        <v>Report Date:  -  18 July 2026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</row>
    <row r="4" spans="1:14" ht="24" customHeight="1" x14ac:dyDescent="0.2">
      <c r="A4" s="65" t="s">
        <v>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</row>
    <row r="5" spans="1:14" ht="20" customHeight="1" x14ac:dyDescent="0.2">
      <c r="A5" s="51" t="s">
        <v>2</v>
      </c>
      <c r="B5" s="35"/>
      <c r="C5" s="76" t="s">
        <v>3</v>
      </c>
      <c r="D5" s="35"/>
      <c r="E5" s="77" t="s">
        <v>4</v>
      </c>
      <c r="F5" s="35"/>
      <c r="G5" s="60" t="s">
        <v>5</v>
      </c>
      <c r="H5" s="35"/>
      <c r="I5" s="61" t="s">
        <v>6</v>
      </c>
      <c r="J5" s="35"/>
      <c r="K5" s="79" t="s">
        <v>7</v>
      </c>
      <c r="L5" s="35"/>
      <c r="M5" s="51" t="s">
        <v>8</v>
      </c>
      <c r="N5" s="35"/>
    </row>
    <row r="6" spans="1:14" ht="20" customHeight="1" x14ac:dyDescent="0.2">
      <c r="A6" s="55">
        <f>COUNTA(TENANTS!B4:B53)</f>
        <v>3</v>
      </c>
      <c r="B6" s="35"/>
      <c r="C6" s="75">
        <f ca="1">COUNTIF(TENANTS!R4:R53,"Active")+COUNTIF(TENANTS!R4:R53,"Active - Review")</f>
        <v>1</v>
      </c>
      <c r="D6" s="35"/>
      <c r="E6" s="49">
        <f ca="1">COUNTIF(TENANTS!R4:R53,"Expiring Soon")</f>
        <v>1</v>
      </c>
      <c r="F6" s="35"/>
      <c r="G6" s="59">
        <f ca="1">COUNTIF(TENANTS!R4:R53,"Expired")</f>
        <v>1</v>
      </c>
      <c r="H6" s="35"/>
      <c r="I6" s="73">
        <f ca="1">SUMIF(TENANTS!R4:R53,"Active",TENANTS!L4:L53)+SUMIF(TENANTS!R4:R53,"Active - Review",TENANTS!L4:L53)</f>
        <v>500</v>
      </c>
      <c r="J6" s="35"/>
      <c r="K6" s="74">
        <f ca="1">(SUMIF(TENANTS!R4:R53,"Active",TENANTS!L4:L53)+SUMIF(TENANTS!R4:R53,"Active - Review",TENANTS!L4:L53))*12</f>
        <v>6000</v>
      </c>
      <c r="L6" s="35"/>
      <c r="M6" s="58">
        <f ca="1">IFERROR((COUNTIF(TENANTS!R4:R53,"Active")+COUNTIF(TENANTS!R4:R53,"Active - Review"))/COUNTA(TENANTS!B4:B53),0)</f>
        <v>0.33333333333333331</v>
      </c>
      <c r="N6" s="35"/>
    </row>
    <row r="7" spans="1:14" ht="28" customHeight="1" x14ac:dyDescent="0.2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</row>
    <row r="8" spans="1:14" ht="20" customHeight="1" x14ac:dyDescent="0.2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 ht="20" customHeight="1" x14ac:dyDescent="0.2">
      <c r="A9" s="72" t="s">
        <v>9</v>
      </c>
      <c r="B9" s="35"/>
      <c r="C9" s="56" t="s">
        <v>10</v>
      </c>
      <c r="D9" s="35"/>
      <c r="E9" s="57" t="s">
        <v>11</v>
      </c>
      <c r="F9" s="35"/>
      <c r="G9" s="70" t="s">
        <v>12</v>
      </c>
      <c r="H9" s="35"/>
      <c r="I9" s="71" t="s">
        <v>13</v>
      </c>
      <c r="J9" s="35"/>
      <c r="K9" s="78" t="s">
        <v>14</v>
      </c>
      <c r="L9" s="35"/>
      <c r="M9" s="72" t="s">
        <v>15</v>
      </c>
      <c r="N9" s="35"/>
    </row>
    <row r="11" spans="1:14" ht="22" customHeight="1" x14ac:dyDescent="0.2">
      <c r="A11" s="81" t="s">
        <v>16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4" ht="20" customHeight="1" x14ac:dyDescent="0.2">
      <c r="A12" s="40" t="s">
        <v>17</v>
      </c>
      <c r="B12" s="35"/>
      <c r="C12" s="40" t="s">
        <v>18</v>
      </c>
      <c r="D12" s="35"/>
      <c r="E12" s="35"/>
      <c r="F12" s="40" t="s">
        <v>19</v>
      </c>
      <c r="G12" s="35"/>
      <c r="H12" s="40" t="s">
        <v>20</v>
      </c>
      <c r="I12" s="35"/>
      <c r="J12" s="40" t="s">
        <v>21</v>
      </c>
      <c r="K12" s="35"/>
      <c r="L12" s="40" t="s">
        <v>22</v>
      </c>
      <c r="M12" s="35"/>
      <c r="N12" s="35"/>
    </row>
    <row r="13" spans="1:14" ht="18" customHeight="1" x14ac:dyDescent="0.2">
      <c r="A13" s="48" t="str">
        <f ca="1">IFERROR(INDEX(TENANTS!A$4:A$53,MATCH(SMALL(IF((TENANTS!Q$4:Q$53&gt;=0)*(TENANTS!Q$4:Q$53&lt;=90),TENANTS!Q$4:Q$53),1),TENANTS!Q$4:Q$53,0)),"-")</f>
        <v>-</v>
      </c>
      <c r="B13" s="35"/>
      <c r="C13" s="46" t="str">
        <f ca="1">IFERROR(INDEX(TENANTS!B$4:B$53,MATCH(SMALL(IF((TENANTS!Q$4:Q$53&gt;=0)*(TENANTS!Q$4:Q$53&lt;=90),TENANTS!Q$4:Q$53),1),TENANTS!Q$4:Q$53,0)),"-")</f>
        <v>-</v>
      </c>
      <c r="D13" s="35"/>
      <c r="E13" s="35"/>
      <c r="F13" s="48" t="str">
        <f ca="1">IFERROR(INDEX(TENANTS!F$4:F$53,MATCH(SMALL(IF((TENANTS!Q$4:Q$53&gt;=0)*(TENANTS!Q$4:Q$53&lt;=90),TENANTS!Q$4:Q$53),1),TENANTS!Q$4:Q$53,0)),"-")</f>
        <v>-</v>
      </c>
      <c r="G13" s="35"/>
      <c r="H13" s="64" t="str">
        <f ca="1">IFERROR(INDEX(TENANTS!J$4:J$53,MATCH(SMALL(IF((TENANTS!Q$4:Q$53&gt;=0)*(TENANTS!Q$4:Q$53&lt;=90),TENANTS!Q$4:Q$53),1),TENANTS!Q$4:Q$53,0)),"-")</f>
        <v>-</v>
      </c>
      <c r="I13" s="35"/>
      <c r="J13" s="38">
        <f ca="1">IFERROR(SMALL(IF((TENANTS!Q$4:Q$53&gt;=0)*(TENANTS!Q$4:Q$53&lt;=90),TENANTS!Q$4:Q$53),1),"-")</f>
        <v>0</v>
      </c>
      <c r="K13" s="35"/>
      <c r="L13" s="47" t="str">
        <f ca="1">IFERROR(INDEX(TENANTS!R$4:R$53,MATCH(SMALL(IF((TENANTS!Q$4:Q$53&gt;=0)*(TENANTS!Q$4:Q$53&lt;=90),TENANTS!Q$4:Q$53),1),TENANTS!Q$4:Q$53,0)),"-")</f>
        <v>-</v>
      </c>
      <c r="M13" s="35"/>
      <c r="N13" s="35"/>
    </row>
    <row r="14" spans="1:14" ht="18" customHeight="1" x14ac:dyDescent="0.2">
      <c r="A14" s="41" t="str">
        <f ca="1">IFERROR(INDEX(TENANTS!A$4:A$53,MATCH(SMALL(IF((TENANTS!Q$4:Q$53&gt;=0)*(TENANTS!Q$4:Q$53&lt;=90),TENANTS!Q$4:Q$53),2),TENANTS!Q$4:Q$53,0)),"-")</f>
        <v>-</v>
      </c>
      <c r="B14" s="35"/>
      <c r="C14" s="53" t="str">
        <f ca="1">IFERROR(INDEX(TENANTS!B$4:B$53,MATCH(SMALL(IF((TENANTS!Q$4:Q$53&gt;=0)*(TENANTS!Q$4:Q$53&lt;=90),TENANTS!Q$4:Q$53),2),TENANTS!Q$4:Q$53,0)),"-")</f>
        <v>-</v>
      </c>
      <c r="D14" s="35"/>
      <c r="E14" s="35"/>
      <c r="F14" s="41" t="str">
        <f ca="1">IFERROR(INDEX(TENANTS!F$4:F$53,MATCH(SMALL(IF((TENANTS!Q$4:Q$53&gt;=0)*(TENANTS!Q$4:Q$53&lt;=90),TENANTS!Q$4:Q$53),2),TENANTS!Q$4:Q$53,0)),"-")</f>
        <v>-</v>
      </c>
      <c r="G14" s="35"/>
      <c r="H14" s="36" t="str">
        <f ca="1">IFERROR(INDEX(TENANTS!J$4:J$53,MATCH(SMALL(IF((TENANTS!Q$4:Q$53&gt;=0)*(TENANTS!Q$4:Q$53&lt;=90),TENANTS!Q$4:Q$53),2),TENANTS!Q$4:Q$53,0)),"-")</f>
        <v>-</v>
      </c>
      <c r="I14" s="35"/>
      <c r="J14" s="37" t="str">
        <f ca="1">IFERROR(SMALL(IF((TENANTS!Q$4:Q$53&gt;=0)*(TENANTS!Q$4:Q$53&lt;=90),TENANTS!Q$4:Q$53),2),"-")</f>
        <v>-</v>
      </c>
      <c r="K14" s="35"/>
      <c r="L14" s="39" t="str">
        <f ca="1">IFERROR(INDEX(TENANTS!R$4:R$53,MATCH(SMALL(IF((TENANTS!Q$4:Q$53&gt;=0)*(TENANTS!Q$4:Q$53&lt;=90),TENANTS!Q$4:Q$53),2),TENANTS!Q$4:Q$53,0)),"-")</f>
        <v>-</v>
      </c>
      <c r="M14" s="35"/>
      <c r="N14" s="35"/>
    </row>
    <row r="15" spans="1:14" ht="18" customHeight="1" x14ac:dyDescent="0.2">
      <c r="A15" s="48" t="str">
        <f ca="1">IFERROR(INDEX(TENANTS!A$4:A$53,MATCH(SMALL(IF((TENANTS!Q$4:Q$53&gt;=0)*(TENANTS!Q$4:Q$53&lt;=90),TENANTS!Q$4:Q$53),3),TENANTS!Q$4:Q$53,0)),"-")</f>
        <v>-</v>
      </c>
      <c r="B15" s="35"/>
      <c r="C15" s="46" t="str">
        <f ca="1">IFERROR(INDEX(TENANTS!B$4:B$53,MATCH(SMALL(IF((TENANTS!Q$4:Q$53&gt;=0)*(TENANTS!Q$4:Q$53&lt;=90),TENANTS!Q$4:Q$53),3),TENANTS!Q$4:Q$53,0)),"-")</f>
        <v>-</v>
      </c>
      <c r="D15" s="35"/>
      <c r="E15" s="35"/>
      <c r="F15" s="48" t="str">
        <f ca="1">IFERROR(INDEX(TENANTS!F$4:F$53,MATCH(SMALL(IF((TENANTS!Q$4:Q$53&gt;=0)*(TENANTS!Q$4:Q$53&lt;=90),TENANTS!Q$4:Q$53),3),TENANTS!Q$4:Q$53,0)),"-")</f>
        <v>-</v>
      </c>
      <c r="G15" s="35"/>
      <c r="H15" s="64" t="str">
        <f ca="1">IFERROR(INDEX(TENANTS!J$4:J$53,MATCH(SMALL(IF((TENANTS!Q$4:Q$53&gt;=0)*(TENANTS!Q$4:Q$53&lt;=90),TENANTS!Q$4:Q$53),3),TENANTS!Q$4:Q$53,0)),"-")</f>
        <v>-</v>
      </c>
      <c r="I15" s="35"/>
      <c r="J15" s="38" t="str">
        <f ca="1">IFERROR(SMALL(IF((TENANTS!Q$4:Q$53&gt;=0)*(TENANTS!Q$4:Q$53&lt;=90),TENANTS!Q$4:Q$53),3),"-")</f>
        <v>-</v>
      </c>
      <c r="K15" s="35"/>
      <c r="L15" s="47" t="str">
        <f ca="1">IFERROR(INDEX(TENANTS!R$4:R$53,MATCH(SMALL(IF((TENANTS!Q$4:Q$53&gt;=0)*(TENANTS!Q$4:Q$53&lt;=90),TENANTS!Q$4:Q$53),3),TENANTS!Q$4:Q$53,0)),"-")</f>
        <v>-</v>
      </c>
      <c r="M15" s="35"/>
      <c r="N15" s="35"/>
    </row>
    <row r="16" spans="1:14" ht="18" customHeight="1" x14ac:dyDescent="0.2">
      <c r="A16" s="41" t="str">
        <f ca="1">IFERROR(INDEX(TENANTS!A$4:A$53,MATCH(SMALL(IF((TENANTS!Q$4:Q$53&gt;=0)*(TENANTS!Q$4:Q$53&lt;=90),TENANTS!Q$4:Q$53),4),TENANTS!Q$4:Q$53,0)),"-")</f>
        <v>-</v>
      </c>
      <c r="B16" s="35"/>
      <c r="C16" s="53" t="str">
        <f ca="1">IFERROR(INDEX(TENANTS!B$4:B$53,MATCH(SMALL(IF((TENANTS!Q$4:Q$53&gt;=0)*(TENANTS!Q$4:Q$53&lt;=90),TENANTS!Q$4:Q$53),4),TENANTS!Q$4:Q$53,0)),"-")</f>
        <v>-</v>
      </c>
      <c r="D16" s="35"/>
      <c r="E16" s="35"/>
      <c r="F16" s="41" t="str">
        <f ca="1">IFERROR(INDEX(TENANTS!F$4:F$53,MATCH(SMALL(IF((TENANTS!Q$4:Q$53&gt;=0)*(TENANTS!Q$4:Q$53&lt;=90),TENANTS!Q$4:Q$53),4),TENANTS!Q$4:Q$53,0)),"-")</f>
        <v>-</v>
      </c>
      <c r="G16" s="35"/>
      <c r="H16" s="36" t="str">
        <f ca="1">IFERROR(INDEX(TENANTS!J$4:J$53,MATCH(SMALL(IF((TENANTS!Q$4:Q$53&gt;=0)*(TENANTS!Q$4:Q$53&lt;=90),TENANTS!Q$4:Q$53),4),TENANTS!Q$4:Q$53,0)),"-")</f>
        <v>-</v>
      </c>
      <c r="I16" s="35"/>
      <c r="J16" s="37" t="str">
        <f ca="1">IFERROR(SMALL(IF((TENANTS!Q$4:Q$53&gt;=0)*(TENANTS!Q$4:Q$53&lt;=90),TENANTS!Q$4:Q$53),4),"-")</f>
        <v>-</v>
      </c>
      <c r="K16" s="35"/>
      <c r="L16" s="39" t="str">
        <f ca="1">IFERROR(INDEX(TENANTS!R$4:R$53,MATCH(SMALL(IF((TENANTS!Q$4:Q$53&gt;=0)*(TENANTS!Q$4:Q$53&lt;=90),TENANTS!Q$4:Q$53),4),TENANTS!Q$4:Q$53,0)),"-")</f>
        <v>-</v>
      </c>
      <c r="M16" s="35"/>
      <c r="N16" s="35"/>
    </row>
    <row r="17" spans="1:14" ht="18" customHeight="1" x14ac:dyDescent="0.2">
      <c r="A17" s="48" t="str">
        <f ca="1">IFERROR(INDEX(TENANTS!A$4:A$53,MATCH(SMALL(IF((TENANTS!Q$4:Q$53&gt;=0)*(TENANTS!Q$4:Q$53&lt;=90),TENANTS!Q$4:Q$53),5),TENANTS!Q$4:Q$53,0)),"-")</f>
        <v>-</v>
      </c>
      <c r="B17" s="35"/>
      <c r="C17" s="46" t="str">
        <f ca="1">IFERROR(INDEX(TENANTS!B$4:B$53,MATCH(SMALL(IF((TENANTS!Q$4:Q$53&gt;=0)*(TENANTS!Q$4:Q$53&lt;=90),TENANTS!Q$4:Q$53),5),TENANTS!Q$4:Q$53,0)),"-")</f>
        <v>-</v>
      </c>
      <c r="D17" s="35"/>
      <c r="E17" s="35"/>
      <c r="F17" s="48" t="str">
        <f ca="1">IFERROR(INDEX(TENANTS!F$4:F$53,MATCH(SMALL(IF((TENANTS!Q$4:Q$53&gt;=0)*(TENANTS!Q$4:Q$53&lt;=90),TENANTS!Q$4:Q$53),5),TENANTS!Q$4:Q$53,0)),"-")</f>
        <v>-</v>
      </c>
      <c r="G17" s="35"/>
      <c r="H17" s="64" t="str">
        <f ca="1">IFERROR(INDEX(TENANTS!J$4:J$53,MATCH(SMALL(IF((TENANTS!Q$4:Q$53&gt;=0)*(TENANTS!Q$4:Q$53&lt;=90),TENANTS!Q$4:Q$53),5),TENANTS!Q$4:Q$53,0)),"-")</f>
        <v>-</v>
      </c>
      <c r="I17" s="35"/>
      <c r="J17" s="38" t="str">
        <f ca="1">IFERROR(SMALL(IF((TENANTS!Q$4:Q$53&gt;=0)*(TENANTS!Q$4:Q$53&lt;=90),TENANTS!Q$4:Q$53),5),"-")</f>
        <v>-</v>
      </c>
      <c r="K17" s="35"/>
      <c r="L17" s="47" t="str">
        <f ca="1">IFERROR(INDEX(TENANTS!R$4:R$53,MATCH(SMALL(IF((TENANTS!Q$4:Q$53&gt;=0)*(TENANTS!Q$4:Q$53&lt;=90),TENANTS!Q$4:Q$53),5),TENANTS!Q$4:Q$53,0)),"-")</f>
        <v>-</v>
      </c>
      <c r="M17" s="35"/>
      <c r="N17" s="35"/>
    </row>
    <row r="18" spans="1:14" ht="18" customHeight="1" x14ac:dyDescent="0.2">
      <c r="A18" s="41" t="str">
        <f ca="1">IFERROR(INDEX(TENANTS!A$4:A$53,MATCH(SMALL(IF((TENANTS!Q$4:Q$53&gt;=0)*(TENANTS!Q$4:Q$53&lt;=90),TENANTS!Q$4:Q$53),6),TENANTS!Q$4:Q$53,0)),"-")</f>
        <v>-</v>
      </c>
      <c r="B18" s="35"/>
      <c r="C18" s="53" t="str">
        <f ca="1">IFERROR(INDEX(TENANTS!B$4:B$53,MATCH(SMALL(IF((TENANTS!Q$4:Q$53&gt;=0)*(TENANTS!Q$4:Q$53&lt;=90),TENANTS!Q$4:Q$53),6),TENANTS!Q$4:Q$53,0)),"-")</f>
        <v>-</v>
      </c>
      <c r="D18" s="35"/>
      <c r="E18" s="35"/>
      <c r="F18" s="41" t="str">
        <f ca="1">IFERROR(INDEX(TENANTS!F$4:F$53,MATCH(SMALL(IF((TENANTS!Q$4:Q$53&gt;=0)*(TENANTS!Q$4:Q$53&lt;=90),TENANTS!Q$4:Q$53),6),TENANTS!Q$4:Q$53,0)),"-")</f>
        <v>-</v>
      </c>
      <c r="G18" s="35"/>
      <c r="H18" s="36" t="str">
        <f ca="1">IFERROR(INDEX(TENANTS!J$4:J$53,MATCH(SMALL(IF((TENANTS!Q$4:Q$53&gt;=0)*(TENANTS!Q$4:Q$53&lt;=90),TENANTS!Q$4:Q$53),6),TENANTS!Q$4:Q$53,0)),"-")</f>
        <v>-</v>
      </c>
      <c r="I18" s="35"/>
      <c r="J18" s="37" t="str">
        <f ca="1">IFERROR(SMALL(IF((TENANTS!Q$4:Q$53&gt;=0)*(TENANTS!Q$4:Q$53&lt;=90),TENANTS!Q$4:Q$53),6),"-")</f>
        <v>-</v>
      </c>
      <c r="K18" s="35"/>
      <c r="L18" s="39" t="str">
        <f ca="1">IFERROR(INDEX(TENANTS!R$4:R$53,MATCH(SMALL(IF((TENANTS!Q$4:Q$53&gt;=0)*(TENANTS!Q$4:Q$53&lt;=90),TENANTS!Q$4:Q$53),6),TENANTS!Q$4:Q$53,0)),"-")</f>
        <v>-</v>
      </c>
      <c r="M18" s="35"/>
      <c r="N18" s="35"/>
    </row>
    <row r="19" spans="1:14" ht="18" customHeight="1" x14ac:dyDescent="0.2">
      <c r="A19" s="48" t="str">
        <f ca="1">IFERROR(INDEX(TENANTS!A$4:A$53,MATCH(SMALL(IF((TENANTS!Q$4:Q$53&gt;=0)*(TENANTS!Q$4:Q$53&lt;=90),TENANTS!Q$4:Q$53),7),TENANTS!Q$4:Q$53,0)),"-")</f>
        <v>-</v>
      </c>
      <c r="B19" s="35"/>
      <c r="C19" s="46" t="str">
        <f ca="1">IFERROR(INDEX(TENANTS!B$4:B$53,MATCH(SMALL(IF((TENANTS!Q$4:Q$53&gt;=0)*(TENANTS!Q$4:Q$53&lt;=90),TENANTS!Q$4:Q$53),7),TENANTS!Q$4:Q$53,0)),"-")</f>
        <v>-</v>
      </c>
      <c r="D19" s="35"/>
      <c r="E19" s="35"/>
      <c r="F19" s="48" t="str">
        <f ca="1">IFERROR(INDEX(TENANTS!F$4:F$53,MATCH(SMALL(IF((TENANTS!Q$4:Q$53&gt;=0)*(TENANTS!Q$4:Q$53&lt;=90),TENANTS!Q$4:Q$53),7),TENANTS!Q$4:Q$53,0)),"-")</f>
        <v>-</v>
      </c>
      <c r="G19" s="35"/>
      <c r="H19" s="64" t="str">
        <f ca="1">IFERROR(INDEX(TENANTS!J$4:J$53,MATCH(SMALL(IF((TENANTS!Q$4:Q$53&gt;=0)*(TENANTS!Q$4:Q$53&lt;=90),TENANTS!Q$4:Q$53),7),TENANTS!Q$4:Q$53,0)),"-")</f>
        <v>-</v>
      </c>
      <c r="I19" s="35"/>
      <c r="J19" s="38" t="str">
        <f ca="1">IFERROR(SMALL(IF((TENANTS!Q$4:Q$53&gt;=0)*(TENANTS!Q$4:Q$53&lt;=90),TENANTS!Q$4:Q$53),7),"-")</f>
        <v>-</v>
      </c>
      <c r="K19" s="35"/>
      <c r="L19" s="47" t="str">
        <f ca="1">IFERROR(INDEX(TENANTS!R$4:R$53,MATCH(SMALL(IF((TENANTS!Q$4:Q$53&gt;=0)*(TENANTS!Q$4:Q$53&lt;=90),TENANTS!Q$4:Q$53),7),TENANTS!Q$4:Q$53,0)),"-")</f>
        <v>-</v>
      </c>
      <c r="M19" s="35"/>
      <c r="N19" s="35"/>
    </row>
    <row r="20" spans="1:14" ht="18" customHeight="1" x14ac:dyDescent="0.2">
      <c r="A20" s="41" t="str">
        <f ca="1">IFERROR(INDEX(TENANTS!A$4:A$53,MATCH(SMALL(IF((TENANTS!Q$4:Q$53&gt;=0)*(TENANTS!Q$4:Q$53&lt;=90),TENANTS!Q$4:Q$53),8),TENANTS!Q$4:Q$53,0)),"-")</f>
        <v>-</v>
      </c>
      <c r="B20" s="35"/>
      <c r="C20" s="53" t="str">
        <f ca="1">IFERROR(INDEX(TENANTS!B$4:B$53,MATCH(SMALL(IF((TENANTS!Q$4:Q$53&gt;=0)*(TENANTS!Q$4:Q$53&lt;=90),TENANTS!Q$4:Q$53),8),TENANTS!Q$4:Q$53,0)),"-")</f>
        <v>-</v>
      </c>
      <c r="D20" s="35"/>
      <c r="E20" s="35"/>
      <c r="F20" s="41" t="str">
        <f ca="1">IFERROR(INDEX(TENANTS!F$4:F$53,MATCH(SMALL(IF((TENANTS!Q$4:Q$53&gt;=0)*(TENANTS!Q$4:Q$53&lt;=90),TENANTS!Q$4:Q$53),8),TENANTS!Q$4:Q$53,0)),"-")</f>
        <v>-</v>
      </c>
      <c r="G20" s="35"/>
      <c r="H20" s="36" t="str">
        <f ca="1">IFERROR(INDEX(TENANTS!J$4:J$53,MATCH(SMALL(IF((TENANTS!Q$4:Q$53&gt;=0)*(TENANTS!Q$4:Q$53&lt;=90),TENANTS!Q$4:Q$53),8),TENANTS!Q$4:Q$53,0)),"-")</f>
        <v>-</v>
      </c>
      <c r="I20" s="35"/>
      <c r="J20" s="37" t="str">
        <f ca="1">IFERROR(SMALL(IF((TENANTS!Q$4:Q$53&gt;=0)*(TENANTS!Q$4:Q$53&lt;=90),TENANTS!Q$4:Q$53),8),"-")</f>
        <v>-</v>
      </c>
      <c r="K20" s="35"/>
      <c r="L20" s="39" t="str">
        <f ca="1">IFERROR(INDEX(TENANTS!R$4:R$53,MATCH(SMALL(IF((TENANTS!Q$4:Q$53&gt;=0)*(TENANTS!Q$4:Q$53&lt;=90),TENANTS!Q$4:Q$53),8),TENANTS!Q$4:Q$53,0)),"-")</f>
        <v>-</v>
      </c>
      <c r="M20" s="35"/>
      <c r="N20" s="35"/>
    </row>
    <row r="21" spans="1:14" ht="18" customHeight="1" x14ac:dyDescent="0.2">
      <c r="A21" s="48" t="str">
        <f ca="1">IFERROR(INDEX(TENANTS!A$4:A$53,MATCH(SMALL(IF((TENANTS!Q$4:Q$53&gt;=0)*(TENANTS!Q$4:Q$53&lt;=90),TENANTS!Q$4:Q$53),9),TENANTS!Q$4:Q$53,0)),"-")</f>
        <v>-</v>
      </c>
      <c r="B21" s="35"/>
      <c r="C21" s="46" t="str">
        <f ca="1">IFERROR(INDEX(TENANTS!B$4:B$53,MATCH(SMALL(IF((TENANTS!Q$4:Q$53&gt;=0)*(TENANTS!Q$4:Q$53&lt;=90),TENANTS!Q$4:Q$53),9),TENANTS!Q$4:Q$53,0)),"-")</f>
        <v>-</v>
      </c>
      <c r="D21" s="35"/>
      <c r="E21" s="35"/>
      <c r="F21" s="48" t="str">
        <f ca="1">IFERROR(INDEX(TENANTS!F$4:F$53,MATCH(SMALL(IF((TENANTS!Q$4:Q$53&gt;=0)*(TENANTS!Q$4:Q$53&lt;=90),TENANTS!Q$4:Q$53),9),TENANTS!Q$4:Q$53,0)),"-")</f>
        <v>-</v>
      </c>
      <c r="G21" s="35"/>
      <c r="H21" s="64" t="str">
        <f ca="1">IFERROR(INDEX(TENANTS!J$4:J$53,MATCH(SMALL(IF((TENANTS!Q$4:Q$53&gt;=0)*(TENANTS!Q$4:Q$53&lt;=90),TENANTS!Q$4:Q$53),9),TENANTS!Q$4:Q$53,0)),"-")</f>
        <v>-</v>
      </c>
      <c r="I21" s="35"/>
      <c r="J21" s="38" t="str">
        <f ca="1">IFERROR(SMALL(IF((TENANTS!Q$4:Q$53&gt;=0)*(TENANTS!Q$4:Q$53&lt;=90),TENANTS!Q$4:Q$53),9),"-")</f>
        <v>-</v>
      </c>
      <c r="K21" s="35"/>
      <c r="L21" s="47" t="str">
        <f ca="1">IFERROR(INDEX(TENANTS!R$4:R$53,MATCH(SMALL(IF((TENANTS!Q$4:Q$53&gt;=0)*(TENANTS!Q$4:Q$53&lt;=90),TENANTS!Q$4:Q$53),9),TENANTS!Q$4:Q$53,0)),"-")</f>
        <v>-</v>
      </c>
      <c r="M21" s="35"/>
      <c r="N21" s="35"/>
    </row>
    <row r="22" spans="1:14" ht="18" customHeight="1" x14ac:dyDescent="0.2">
      <c r="A22" s="41" t="str">
        <f ca="1">IFERROR(INDEX(TENANTS!A$4:A$53,MATCH(SMALL(IF((TENANTS!Q$4:Q$53&gt;=0)*(TENANTS!Q$4:Q$53&lt;=90),TENANTS!Q$4:Q$53),10),TENANTS!Q$4:Q$53,0)),"-")</f>
        <v>-</v>
      </c>
      <c r="B22" s="35"/>
      <c r="C22" s="53" t="str">
        <f ca="1">IFERROR(INDEX(TENANTS!B$4:B$53,MATCH(SMALL(IF((TENANTS!Q$4:Q$53&gt;=0)*(TENANTS!Q$4:Q$53&lt;=90),TENANTS!Q$4:Q$53),10),TENANTS!Q$4:Q$53,0)),"-")</f>
        <v>-</v>
      </c>
      <c r="D22" s="35"/>
      <c r="E22" s="35"/>
      <c r="F22" s="41" t="str">
        <f ca="1">IFERROR(INDEX(TENANTS!F$4:F$53,MATCH(SMALL(IF((TENANTS!Q$4:Q$53&gt;=0)*(TENANTS!Q$4:Q$53&lt;=90),TENANTS!Q$4:Q$53),10),TENANTS!Q$4:Q$53,0)),"-")</f>
        <v>-</v>
      </c>
      <c r="G22" s="35"/>
      <c r="H22" s="36" t="str">
        <f ca="1">IFERROR(INDEX(TENANTS!J$4:J$53,MATCH(SMALL(IF((TENANTS!Q$4:Q$53&gt;=0)*(TENANTS!Q$4:Q$53&lt;=90),TENANTS!Q$4:Q$53),10),TENANTS!Q$4:Q$53,0)),"-")</f>
        <v>-</v>
      </c>
      <c r="I22" s="35"/>
      <c r="J22" s="37" t="str">
        <f ca="1">IFERROR(SMALL(IF((TENANTS!Q$4:Q$53&gt;=0)*(TENANTS!Q$4:Q$53&lt;=90),TENANTS!Q$4:Q$53),10),"-")</f>
        <v>-</v>
      </c>
      <c r="K22" s="35"/>
      <c r="L22" s="39" t="str">
        <f ca="1">IFERROR(INDEX(TENANTS!R$4:R$53,MATCH(SMALL(IF((TENANTS!Q$4:Q$53&gt;=0)*(TENANTS!Q$4:Q$53&lt;=90),TENANTS!Q$4:Q$53),10),TENANTS!Q$4:Q$53,0)),"-")</f>
        <v>-</v>
      </c>
      <c r="M22" s="35"/>
      <c r="N22" s="35"/>
    </row>
    <row r="24" spans="1:14" ht="22" customHeight="1" x14ac:dyDescent="0.2">
      <c r="A24" s="84" t="s">
        <v>23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</row>
    <row r="25" spans="1:14" ht="22" customHeight="1" x14ac:dyDescent="0.2">
      <c r="A25" s="42" t="s">
        <v>24</v>
      </c>
      <c r="B25" s="35"/>
      <c r="C25" s="43" t="s">
        <v>25</v>
      </c>
      <c r="D25" s="35"/>
      <c r="E25" s="66" t="s">
        <v>26</v>
      </c>
      <c r="F25" s="35"/>
      <c r="G25" s="67" t="s">
        <v>27</v>
      </c>
      <c r="H25" s="35"/>
      <c r="I25" s="82" t="s">
        <v>28</v>
      </c>
      <c r="J25" s="35"/>
      <c r="K25" s="83" t="s">
        <v>29</v>
      </c>
      <c r="L25" s="35"/>
    </row>
    <row r="26" spans="1:14" ht="22" customHeight="1" x14ac:dyDescent="0.2">
      <c r="A26" s="80">
        <f ca="1">COUNTIF(TENANTS!R$4:R$53,"Active")</f>
        <v>1</v>
      </c>
      <c r="B26" s="35"/>
      <c r="C26" s="69">
        <f ca="1">COUNTIF(TENANTS!R$4:R$53,"Active - Review")</f>
        <v>0</v>
      </c>
      <c r="D26" s="35"/>
      <c r="E26" s="44">
        <f ca="1">COUNTIF(TENANTS!R$4:R$53,"Expiring Soon")</f>
        <v>1</v>
      </c>
      <c r="F26" s="35"/>
      <c r="G26" s="45">
        <f ca="1">COUNTIF(TENANTS!R$4:R$53,"Expired")</f>
        <v>1</v>
      </c>
      <c r="H26" s="35"/>
      <c r="I26" s="68">
        <f ca="1">COUNTIF(TENANTS!R$4:R$53,"Terminated")</f>
        <v>0</v>
      </c>
      <c r="J26" s="35"/>
      <c r="K26" s="52">
        <f ca="1">COUNTIF(TENANTS!R$4:R$53,"Vacant")</f>
        <v>46</v>
      </c>
      <c r="L26" s="35"/>
    </row>
    <row r="27" spans="1:14" ht="22" customHeight="1" x14ac:dyDescent="0.2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</row>
    <row r="29" spans="1:14" ht="22" customHeight="1" x14ac:dyDescent="0.2">
      <c r="A29" s="54" t="s">
        <v>30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</row>
    <row r="30" spans="1:14" ht="28" customHeight="1" x14ac:dyDescent="0.2">
      <c r="A30" s="1" t="s">
        <v>31</v>
      </c>
      <c r="B30" s="34" t="s">
        <v>32</v>
      </c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 ht="28" customHeight="1" x14ac:dyDescent="0.2">
      <c r="A31" s="1" t="s">
        <v>33</v>
      </c>
      <c r="B31" s="62" t="s">
        <v>34</v>
      </c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 ht="28" customHeight="1" x14ac:dyDescent="0.2">
      <c r="A32" s="1" t="s">
        <v>35</v>
      </c>
      <c r="B32" s="34" t="s">
        <v>36</v>
      </c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 ht="28" customHeight="1" x14ac:dyDescent="0.2">
      <c r="A33" s="1" t="s">
        <v>37</v>
      </c>
      <c r="B33" s="62" t="s">
        <v>38</v>
      </c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 ht="28" customHeight="1" x14ac:dyDescent="0.2">
      <c r="A34" s="1" t="s">
        <v>39</v>
      </c>
      <c r="B34" s="34" t="s">
        <v>40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</row>
    <row r="35" spans="1:14" ht="28" customHeight="1" x14ac:dyDescent="0.2">
      <c r="A35" s="1" t="s">
        <v>41</v>
      </c>
      <c r="B35" s="62" t="s">
        <v>42</v>
      </c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</row>
  </sheetData>
  <mergeCells count="111">
    <mergeCell ref="A26:B27"/>
    <mergeCell ref="A15:B15"/>
    <mergeCell ref="F16:G16"/>
    <mergeCell ref="J19:K19"/>
    <mergeCell ref="A11:N11"/>
    <mergeCell ref="C21:E21"/>
    <mergeCell ref="F15:G15"/>
    <mergeCell ref="I25:J25"/>
    <mergeCell ref="B31:N31"/>
    <mergeCell ref="C18:E18"/>
    <mergeCell ref="F13:G13"/>
    <mergeCell ref="A17:B17"/>
    <mergeCell ref="H13:I13"/>
    <mergeCell ref="A22:B22"/>
    <mergeCell ref="J21:K21"/>
    <mergeCell ref="A19:B19"/>
    <mergeCell ref="L13:N13"/>
    <mergeCell ref="H15:I15"/>
    <mergeCell ref="C22:E22"/>
    <mergeCell ref="K25:L25"/>
    <mergeCell ref="A24:N24"/>
    <mergeCell ref="F21:G21"/>
    <mergeCell ref="H21:I21"/>
    <mergeCell ref="A9:B9"/>
    <mergeCell ref="C20:E20"/>
    <mergeCell ref="I6:J8"/>
    <mergeCell ref="K6:L8"/>
    <mergeCell ref="L15:N15"/>
    <mergeCell ref="L18:N18"/>
    <mergeCell ref="C6:D8"/>
    <mergeCell ref="F19:G19"/>
    <mergeCell ref="C5:D5"/>
    <mergeCell ref="E5:F5"/>
    <mergeCell ref="C16:E16"/>
    <mergeCell ref="L14:N14"/>
    <mergeCell ref="K9:L9"/>
    <mergeCell ref="K5:L5"/>
    <mergeCell ref="M9:N9"/>
    <mergeCell ref="M5:N5"/>
    <mergeCell ref="B33:N33"/>
    <mergeCell ref="C12:E12"/>
    <mergeCell ref="A1:N1"/>
    <mergeCell ref="B35:N35"/>
    <mergeCell ref="F20:G20"/>
    <mergeCell ref="F18:G18"/>
    <mergeCell ref="F17:G17"/>
    <mergeCell ref="H17:I17"/>
    <mergeCell ref="J20:K20"/>
    <mergeCell ref="C13:E13"/>
    <mergeCell ref="H19:I19"/>
    <mergeCell ref="J22:K22"/>
    <mergeCell ref="C15:E15"/>
    <mergeCell ref="H12:I12"/>
    <mergeCell ref="J12:K12"/>
    <mergeCell ref="A4:N4"/>
    <mergeCell ref="E25:F25"/>
    <mergeCell ref="G25:H25"/>
    <mergeCell ref="I26:J27"/>
    <mergeCell ref="C26:D27"/>
    <mergeCell ref="H14:I14"/>
    <mergeCell ref="L12:N12"/>
    <mergeCell ref="G9:H9"/>
    <mergeCell ref="I9:J9"/>
    <mergeCell ref="B32:N32"/>
    <mergeCell ref="E6:F8"/>
    <mergeCell ref="A12:B12"/>
    <mergeCell ref="A21:B21"/>
    <mergeCell ref="H16:I16"/>
    <mergeCell ref="J16:K16"/>
    <mergeCell ref="A2:N2"/>
    <mergeCell ref="A5:B5"/>
    <mergeCell ref="A14:B14"/>
    <mergeCell ref="F22:G22"/>
    <mergeCell ref="H22:I22"/>
    <mergeCell ref="L17:N17"/>
    <mergeCell ref="K26:L27"/>
    <mergeCell ref="C14:E14"/>
    <mergeCell ref="L19:N19"/>
    <mergeCell ref="A29:N29"/>
    <mergeCell ref="F14:G14"/>
    <mergeCell ref="A6:B8"/>
    <mergeCell ref="C9:D9"/>
    <mergeCell ref="E9:F9"/>
    <mergeCell ref="M6:N8"/>
    <mergeCell ref="G6:H8"/>
    <mergeCell ref="G5:H5"/>
    <mergeCell ref="I5:J5"/>
    <mergeCell ref="B34:N34"/>
    <mergeCell ref="H20:I20"/>
    <mergeCell ref="J14:K14"/>
    <mergeCell ref="B30:N30"/>
    <mergeCell ref="J13:K13"/>
    <mergeCell ref="L20:N20"/>
    <mergeCell ref="F12:G12"/>
    <mergeCell ref="A16:B16"/>
    <mergeCell ref="A25:B25"/>
    <mergeCell ref="C25:D25"/>
    <mergeCell ref="J15:K15"/>
    <mergeCell ref="L22:N22"/>
    <mergeCell ref="E26:F27"/>
    <mergeCell ref="G26:H27"/>
    <mergeCell ref="C17:E17"/>
    <mergeCell ref="A18:B18"/>
    <mergeCell ref="L21:N21"/>
    <mergeCell ref="C19:E19"/>
    <mergeCell ref="A20:B20"/>
    <mergeCell ref="L16:N16"/>
    <mergeCell ref="H18:I18"/>
    <mergeCell ref="J18:K18"/>
    <mergeCell ref="A13:B13"/>
    <mergeCell ref="J17:K17"/>
  </mergeCells>
  <pageMargins left="0.75" right="0.75" top="1" bottom="1" header="0.5" footer="0.5"/>
  <pageSetup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4"/>
  <sheetViews>
    <sheetView workbookViewId="0"/>
  </sheetViews>
  <sheetFormatPr baseColWidth="10" defaultColWidth="8.83203125" defaultRowHeight="15" x14ac:dyDescent="0.2"/>
  <sheetData>
    <row r="1" spans="1:2" x14ac:dyDescent="0.2">
      <c r="A1" t="s">
        <v>43</v>
      </c>
      <c r="B1" t="s">
        <v>44</v>
      </c>
    </row>
    <row r="2" spans="1:2" x14ac:dyDescent="0.2">
      <c r="A2" t="s">
        <v>45</v>
      </c>
      <c r="B2" t="s">
        <v>46</v>
      </c>
    </row>
    <row r="3" spans="1:2" x14ac:dyDescent="0.2">
      <c r="B3" t="s">
        <v>47</v>
      </c>
    </row>
    <row r="4" spans="1:2" x14ac:dyDescent="0.2">
      <c r="B4" t="s">
        <v>48</v>
      </c>
    </row>
    <row r="5" spans="1:2" x14ac:dyDescent="0.2">
      <c r="B5" t="s">
        <v>49</v>
      </c>
    </row>
    <row r="6" spans="1:2" x14ac:dyDescent="0.2">
      <c r="B6" t="s">
        <v>50</v>
      </c>
    </row>
    <row r="7" spans="1:2" x14ac:dyDescent="0.2">
      <c r="B7" t="s">
        <v>51</v>
      </c>
    </row>
    <row r="8" spans="1:2" x14ac:dyDescent="0.2">
      <c r="B8" t="s">
        <v>52</v>
      </c>
    </row>
    <row r="9" spans="1:2" x14ac:dyDescent="0.2">
      <c r="A9" t="s">
        <v>53</v>
      </c>
      <c r="B9" t="s">
        <v>24</v>
      </c>
    </row>
    <row r="10" spans="1:2" x14ac:dyDescent="0.2">
      <c r="B10" t="s">
        <v>54</v>
      </c>
    </row>
    <row r="11" spans="1:2" x14ac:dyDescent="0.2">
      <c r="B11" t="s">
        <v>27</v>
      </c>
    </row>
    <row r="12" spans="1:2" x14ac:dyDescent="0.2">
      <c r="B12" t="s">
        <v>28</v>
      </c>
    </row>
    <row r="13" spans="1:2" x14ac:dyDescent="0.2">
      <c r="B13" t="s">
        <v>29</v>
      </c>
    </row>
    <row r="14" spans="1:2" x14ac:dyDescent="0.2">
      <c r="A14" t="s">
        <v>55</v>
      </c>
      <c r="B14" t="s">
        <v>56</v>
      </c>
    </row>
    <row r="15" spans="1:2" x14ac:dyDescent="0.2">
      <c r="B15" t="s">
        <v>57</v>
      </c>
    </row>
    <row r="16" spans="1:2" x14ac:dyDescent="0.2">
      <c r="B16" t="s">
        <v>58</v>
      </c>
    </row>
    <row r="17" spans="1:2" x14ac:dyDescent="0.2">
      <c r="B17" t="s">
        <v>59</v>
      </c>
    </row>
    <row r="18" spans="1:2" x14ac:dyDescent="0.2">
      <c r="A18" t="s">
        <v>60</v>
      </c>
      <c r="B18" t="s">
        <v>61</v>
      </c>
    </row>
    <row r="19" spans="1:2" x14ac:dyDescent="0.2">
      <c r="B19" t="s">
        <v>62</v>
      </c>
    </row>
    <row r="20" spans="1:2" x14ac:dyDescent="0.2">
      <c r="B20" t="s">
        <v>63</v>
      </c>
    </row>
    <row r="21" spans="1:2" x14ac:dyDescent="0.2">
      <c r="B21" t="s">
        <v>64</v>
      </c>
    </row>
    <row r="22" spans="1:2" x14ac:dyDescent="0.2">
      <c r="B22" t="s">
        <v>65</v>
      </c>
    </row>
    <row r="23" spans="1:2" x14ac:dyDescent="0.2">
      <c r="A23" t="s">
        <v>66</v>
      </c>
      <c r="B23" t="s">
        <v>67</v>
      </c>
    </row>
    <row r="24" spans="1:2" x14ac:dyDescent="0.2">
      <c r="B24" t="s">
        <v>68</v>
      </c>
    </row>
    <row r="25" spans="1:2" x14ac:dyDescent="0.2">
      <c r="B25" t="s">
        <v>69</v>
      </c>
    </row>
    <row r="26" spans="1:2" x14ac:dyDescent="0.2">
      <c r="B26" t="s">
        <v>70</v>
      </c>
    </row>
    <row r="27" spans="1:2" x14ac:dyDescent="0.2">
      <c r="B27" t="s">
        <v>71</v>
      </c>
    </row>
    <row r="28" spans="1:2" x14ac:dyDescent="0.2">
      <c r="A28" t="s">
        <v>72</v>
      </c>
      <c r="B28" t="s">
        <v>73</v>
      </c>
    </row>
    <row r="29" spans="1:2" x14ac:dyDescent="0.2">
      <c r="B29" t="s">
        <v>74</v>
      </c>
    </row>
    <row r="30" spans="1:2" x14ac:dyDescent="0.2">
      <c r="A30" t="s">
        <v>75</v>
      </c>
      <c r="B30" t="s">
        <v>76</v>
      </c>
    </row>
    <row r="31" spans="1:2" x14ac:dyDescent="0.2">
      <c r="B31" t="s">
        <v>24</v>
      </c>
    </row>
    <row r="32" spans="1:2" x14ac:dyDescent="0.2">
      <c r="B32" t="s">
        <v>26</v>
      </c>
    </row>
    <row r="33" spans="2:2" x14ac:dyDescent="0.2">
      <c r="B33" t="s">
        <v>27</v>
      </c>
    </row>
    <row r="34" spans="2:2" x14ac:dyDescent="0.2">
      <c r="B34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7A589"/>
    <pageSetUpPr fitToPage="1"/>
  </sheetPr>
  <dimension ref="A1:L45"/>
  <sheetViews>
    <sheetView showGridLines="0" topLeftCell="A9" workbookViewId="0">
      <selection activeCell="A41" sqref="A41:B41"/>
    </sheetView>
  </sheetViews>
  <sheetFormatPr baseColWidth="10" defaultColWidth="8.83203125" defaultRowHeight="15" x14ac:dyDescent="0.2"/>
  <cols>
    <col min="1" max="1" width="11" customWidth="1"/>
    <col min="2" max="2" width="20" customWidth="1"/>
    <col min="3" max="3" width="24" customWidth="1"/>
    <col min="4" max="4" width="10" customWidth="1"/>
    <col min="5" max="5" width="16" customWidth="1"/>
    <col min="6" max="6" width="24" customWidth="1"/>
    <col min="7" max="7" width="12" customWidth="1"/>
    <col min="8" max="8" width="16" customWidth="1"/>
    <col min="9" max="9" width="24" customWidth="1"/>
    <col min="10" max="10" width="14" customWidth="1"/>
    <col min="11" max="11" width="18" customWidth="1"/>
    <col min="12" max="12" width="14" customWidth="1"/>
  </cols>
  <sheetData>
    <row r="1" spans="1:12" ht="30" customHeight="1" x14ac:dyDescent="0.2">
      <c r="A1" s="88" t="s">
        <v>77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92" t="s">
        <v>78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ht="16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 ht="16" thickBot="1" x14ac:dyDescent="0.25">
      <c r="A5" s="3"/>
      <c r="B5" s="4" t="s">
        <v>17</v>
      </c>
      <c r="C5" s="5" t="s">
        <v>162</v>
      </c>
      <c r="D5" s="3"/>
      <c r="E5" s="6" t="s">
        <v>80</v>
      </c>
      <c r="F5" s="7">
        <v>46153</v>
      </c>
      <c r="G5" s="3"/>
      <c r="H5" s="4" t="s">
        <v>81</v>
      </c>
      <c r="I5" s="8"/>
      <c r="J5" s="3"/>
      <c r="K5" s="3"/>
      <c r="L5" s="3"/>
    </row>
    <row r="6" spans="1:12" ht="16" thickBo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">
      <c r="A7" s="3"/>
      <c r="B7" s="4" t="s">
        <v>82</v>
      </c>
      <c r="C7" s="8" t="s">
        <v>165</v>
      </c>
      <c r="D7" s="3"/>
      <c r="E7" s="6" t="s">
        <v>83</v>
      </c>
      <c r="F7" s="7">
        <v>46397</v>
      </c>
      <c r="G7" s="3"/>
      <c r="H7" s="4" t="s">
        <v>84</v>
      </c>
      <c r="I7" s="8"/>
      <c r="J7" s="3"/>
      <c r="K7" s="3"/>
      <c r="L7" s="3"/>
    </row>
    <row r="8" spans="1:12" ht="16" thickBot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  <row r="9" spans="1:12" ht="16" thickBot="1" x14ac:dyDescent="0.25">
      <c r="A9" s="3"/>
      <c r="B9" s="4" t="s">
        <v>85</v>
      </c>
      <c r="C9">
        <v>247045395</v>
      </c>
      <c r="D9" s="3"/>
      <c r="E9" s="4" t="s">
        <v>86</v>
      </c>
      <c r="F9" s="9">
        <v>500</v>
      </c>
      <c r="G9" s="3"/>
      <c r="H9" s="4" t="s">
        <v>87</v>
      </c>
      <c r="I9" s="8"/>
      <c r="J9" s="3"/>
      <c r="K9" s="3"/>
      <c r="L9" s="3"/>
    </row>
    <row r="10" spans="1:12" ht="16" thickBot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</row>
    <row r="11" spans="1:12" ht="16" thickBot="1" x14ac:dyDescent="0.25">
      <c r="A11" s="3"/>
      <c r="B11" s="4" t="s">
        <v>88</v>
      </c>
      <c r="C11" s="8"/>
      <c r="D11" s="3"/>
      <c r="E11" s="4" t="s">
        <v>60</v>
      </c>
      <c r="F11" s="8" t="s">
        <v>61</v>
      </c>
      <c r="G11" s="3"/>
      <c r="H11" s="31"/>
      <c r="I11" s="31"/>
      <c r="J11" s="31"/>
      <c r="K11" s="31"/>
      <c r="L11" s="3"/>
    </row>
    <row r="12" spans="1:12" ht="27" thickBot="1" x14ac:dyDescent="0.25">
      <c r="A12" s="3"/>
      <c r="B12" s="3"/>
      <c r="C12" s="3"/>
      <c r="D12" s="3"/>
      <c r="E12" s="3"/>
      <c r="F12" s="3"/>
      <c r="G12" s="3"/>
      <c r="H12" s="32" t="s">
        <v>89</v>
      </c>
      <c r="I12" s="33"/>
      <c r="J12" s="33"/>
      <c r="K12" s="33"/>
      <c r="L12" s="3"/>
    </row>
    <row r="13" spans="1:12" ht="16" thickBot="1" x14ac:dyDescent="0.25">
      <c r="A13" s="3"/>
      <c r="B13" s="4" t="s">
        <v>90</v>
      </c>
      <c r="C13" s="8"/>
      <c r="D13" s="3"/>
      <c r="E13" s="4" t="s">
        <v>91</v>
      </c>
      <c r="F13" s="8"/>
      <c r="G13" s="3"/>
      <c r="H13" s="33"/>
      <c r="I13" s="33"/>
      <c r="J13" s="33"/>
      <c r="K13" s="33"/>
      <c r="L13" s="3"/>
    </row>
    <row r="14" spans="1:12" ht="16" thickBot="1" x14ac:dyDescent="0.25">
      <c r="A14" s="3"/>
      <c r="B14" s="3"/>
      <c r="C14" s="3"/>
      <c r="D14" s="3"/>
      <c r="E14" s="3"/>
      <c r="F14" s="3"/>
      <c r="G14" s="3"/>
      <c r="H14" s="33"/>
      <c r="I14" s="33"/>
      <c r="J14" s="33"/>
      <c r="K14" s="33"/>
      <c r="L14" s="3"/>
    </row>
    <row r="15" spans="1:12" ht="16" thickBot="1" x14ac:dyDescent="0.25">
      <c r="A15" s="3"/>
      <c r="B15" s="4" t="s">
        <v>92</v>
      </c>
      <c r="C15" s="8" t="s">
        <v>166</v>
      </c>
      <c r="D15" s="3"/>
      <c r="E15" s="4" t="s">
        <v>93</v>
      </c>
      <c r="F15" s="9">
        <v>4000</v>
      </c>
      <c r="G15" s="3"/>
      <c r="H15" s="33"/>
      <c r="I15" s="33"/>
      <c r="J15" s="33"/>
      <c r="K15" s="33"/>
      <c r="L15" s="3"/>
    </row>
    <row r="16" spans="1:12" ht="16" thickBot="1" x14ac:dyDescent="0.25">
      <c r="A16" s="3"/>
      <c r="B16" s="3"/>
      <c r="C16" s="3"/>
      <c r="D16" s="3"/>
      <c r="E16" s="3"/>
      <c r="F16" s="3"/>
      <c r="G16" s="3"/>
      <c r="H16" s="33"/>
      <c r="I16" s="33"/>
      <c r="J16" s="33"/>
      <c r="K16" s="33"/>
      <c r="L16" s="3"/>
    </row>
    <row r="17" spans="1:12" ht="16" thickBot="1" x14ac:dyDescent="0.25">
      <c r="A17" s="3"/>
      <c r="B17" s="4" t="s">
        <v>94</v>
      </c>
      <c r="C17" s="8" t="s">
        <v>167</v>
      </c>
      <c r="D17" s="3"/>
      <c r="E17" s="4" t="s">
        <v>95</v>
      </c>
      <c r="F17" s="8"/>
      <c r="G17" s="3"/>
      <c r="H17" s="33"/>
      <c r="I17" s="33"/>
      <c r="J17" s="33"/>
      <c r="K17" s="33"/>
      <c r="L17" s="3"/>
    </row>
    <row r="18" spans="1:12" ht="16" thickBot="1" x14ac:dyDescent="0.25">
      <c r="A18" s="3"/>
      <c r="B18" s="3"/>
      <c r="C18" s="3"/>
      <c r="D18" s="3"/>
      <c r="E18" s="3"/>
      <c r="F18" s="3"/>
      <c r="G18" s="3"/>
      <c r="H18" s="33"/>
      <c r="I18" s="33"/>
      <c r="J18" s="33"/>
      <c r="K18" s="33"/>
      <c r="L18" s="3"/>
    </row>
    <row r="19" spans="1:12" ht="16" thickBot="1" x14ac:dyDescent="0.25">
      <c r="A19" s="3"/>
      <c r="B19" s="4" t="s">
        <v>96</v>
      </c>
      <c r="C19" s="8"/>
      <c r="D19" s="3"/>
      <c r="E19" s="4" t="s">
        <v>97</v>
      </c>
      <c r="F19" s="8"/>
      <c r="G19" s="3"/>
      <c r="H19" s="33"/>
      <c r="I19" s="33"/>
      <c r="J19" s="33"/>
      <c r="K19" s="33"/>
      <c r="L19" s="3"/>
    </row>
    <row r="20" spans="1:12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">
      <c r="A21" s="3"/>
      <c r="B21" s="3"/>
      <c r="C21" s="3"/>
      <c r="D21" s="3"/>
      <c r="E21" s="3"/>
      <c r="F21" s="3"/>
      <c r="G21" s="3"/>
      <c r="H21" s="87" t="s">
        <v>98</v>
      </c>
      <c r="I21" s="35"/>
      <c r="J21" s="35"/>
      <c r="K21" s="35"/>
      <c r="L21" s="3"/>
    </row>
    <row r="22" spans="1:12" x14ac:dyDescent="0.2">
      <c r="A22" s="3"/>
      <c r="B22" s="3"/>
      <c r="C22" s="3"/>
      <c r="D22" s="3"/>
      <c r="E22" s="3"/>
      <c r="F22" s="3"/>
      <c r="G22" s="3"/>
      <c r="H22" s="35"/>
      <c r="I22" s="35"/>
      <c r="J22" s="35"/>
      <c r="K22" s="35"/>
      <c r="L22" s="3"/>
    </row>
    <row r="23" spans="1:12" x14ac:dyDescent="0.2">
      <c r="A23" s="3"/>
      <c r="B23" s="3"/>
      <c r="C23" s="3"/>
      <c r="D23" s="3"/>
      <c r="F23" s="3"/>
      <c r="G23" s="3"/>
      <c r="H23" s="3"/>
      <c r="I23" s="3"/>
      <c r="J23" s="3"/>
      <c r="K23" s="3"/>
      <c r="L23" s="3"/>
    </row>
    <row r="24" spans="1:12" ht="16" thickBo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0"/>
      <c r="L24" s="3"/>
    </row>
    <row r="25" spans="1:12" ht="22" customHeight="1" thickBot="1" x14ac:dyDescent="0.25">
      <c r="A25" s="3"/>
      <c r="B25" s="4" t="s">
        <v>99</v>
      </c>
      <c r="C25" s="91"/>
      <c r="D25" s="35"/>
      <c r="E25" s="35"/>
      <c r="F25" s="35"/>
      <c r="G25" s="89"/>
      <c r="H25" s="35"/>
      <c r="I25" s="87" t="s">
        <v>99</v>
      </c>
      <c r="J25" s="35"/>
      <c r="K25" s="30"/>
      <c r="L25" s="3"/>
    </row>
    <row r="26" spans="1:12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  <row r="28" spans="1:12" x14ac:dyDescent="0.2">
      <c r="A28" s="3"/>
      <c r="B28" s="3"/>
      <c r="C28" s="3"/>
      <c r="D28" s="3"/>
      <c r="E28" s="3"/>
      <c r="F28" s="3"/>
      <c r="G28" s="3"/>
      <c r="I28" s="3"/>
      <c r="K28" s="3"/>
      <c r="L28" s="3"/>
    </row>
    <row r="29" spans="1:1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</row>
    <row r="30" spans="1:12" x14ac:dyDescent="0.2">
      <c r="A30" s="3"/>
      <c r="B30" s="3"/>
      <c r="C30" s="3"/>
      <c r="D30" s="3"/>
      <c r="E30" s="3"/>
      <c r="F30" s="3"/>
      <c r="G30" s="3"/>
      <c r="H30" s="3"/>
      <c r="J30" s="3"/>
      <c r="K30" s="3"/>
      <c r="L30" s="3"/>
    </row>
    <row r="31" spans="1:12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2">
      <c r="A32" s="90" t="s">
        <v>100</v>
      </c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</row>
    <row r="33" spans="1:12" x14ac:dyDescent="0.2">
      <c r="A33" s="10" t="s">
        <v>17</v>
      </c>
      <c r="B33" s="10" t="s">
        <v>101</v>
      </c>
      <c r="C33" s="10" t="s">
        <v>102</v>
      </c>
      <c r="D33" s="10" t="s">
        <v>103</v>
      </c>
      <c r="E33" s="10" t="s">
        <v>60</v>
      </c>
      <c r="F33" s="10" t="s">
        <v>20</v>
      </c>
      <c r="G33" s="10" t="s">
        <v>22</v>
      </c>
      <c r="H33" s="10" t="s">
        <v>85</v>
      </c>
      <c r="I33" s="10" t="s">
        <v>81</v>
      </c>
      <c r="J33" s="10" t="s">
        <v>87</v>
      </c>
      <c r="K33" s="10" t="s">
        <v>104</v>
      </c>
      <c r="L33" s="10" t="s">
        <v>95</v>
      </c>
    </row>
    <row r="34" spans="1:12" x14ac:dyDescent="0.2">
      <c r="A34" s="11" t="str">
        <f>IFERROR(INDEX(TENANTS!A$4:A$53,1),"")</f>
        <v>T-004</v>
      </c>
      <c r="B34" s="11" t="str">
        <f>IFERROR(INDEX(TENANTS!B$4:B$53,1),"")</f>
        <v>Washington ABOR</v>
      </c>
      <c r="C34" s="11" t="str">
        <f>IFERROR(INDEX(TENANTS!F$4:F$53,1),"")</f>
        <v>Room 3 Main</v>
      </c>
      <c r="D34" s="12">
        <f>IFERROR(INDEX(TENANTS!L$4:L$53,1),"")</f>
        <v>500</v>
      </c>
      <c r="E34" s="11" t="str">
        <f>IFERROR(INDEX(TENANTS!M$4:M$53,1),"")</f>
        <v>GHS</v>
      </c>
      <c r="F34" s="13">
        <f>IFERROR(INDEX(TENANTS!J$4:J$53,1),"")</f>
        <v>46397</v>
      </c>
      <c r="G34" s="11" t="str">
        <f ca="1">IFERROR(INDEX(TENANTS!R$4:R$53,1),"")</f>
        <v>Active</v>
      </c>
      <c r="H34" s="11">
        <f>IFERROR(INDEX(TENANTS!C$4:C$53,1),"")</f>
        <v>247045395</v>
      </c>
      <c r="I34" s="11">
        <f>IFERROR(INDEX(TENANTS!S$4:S$53,1),"")</f>
        <v>0</v>
      </c>
      <c r="J34" s="11">
        <f>IFERROR(INDEX(TENANTS!U$4:U$53,1),"")</f>
        <v>0</v>
      </c>
      <c r="K34" s="11">
        <f>IFERROR(INDEX(TENANTS!V$4:V$53,1),"")</f>
        <v>0</v>
      </c>
      <c r="L34" s="11">
        <f>IFERROR(INDEX(TENANTS!P$4:P$53,1),"")</f>
        <v>0</v>
      </c>
    </row>
    <row r="35" spans="1:12" x14ac:dyDescent="0.2">
      <c r="A35" s="14" t="str">
        <f>IFERROR(INDEX(TENANTS!A$4:A$53,2),"")</f>
        <v>T-002</v>
      </c>
      <c r="B35" s="14" t="str">
        <f>IFERROR(INDEX(TENANTS!B$4:B$53,2),"")</f>
        <v>Simeon Boison</v>
      </c>
      <c r="C35" s="14" t="str">
        <f>IFERROR(INDEX(TENANTS!F$4:F$53,2),"")</f>
        <v>B-204</v>
      </c>
      <c r="D35" s="15">
        <f>IFERROR(INDEX(TENANTS!L$4:L$53,2),"")</f>
        <v>2800</v>
      </c>
      <c r="E35" s="14" t="str">
        <f>IFERROR(INDEX(TENANTS!M$4:M$53,2),"")</f>
        <v>GHS</v>
      </c>
      <c r="F35" s="16">
        <f>IFERROR(INDEX(TENANTS!J$4:J$53,2),"")</f>
        <v>46249</v>
      </c>
      <c r="G35" s="14" t="str">
        <f ca="1">IFERROR(INDEX(TENANTS!R$4:R$53,2),"")</f>
        <v>Expiring Soon</v>
      </c>
      <c r="H35" s="14">
        <f>IFERROR(INDEX(TENANTS!C$4:C$53,2),"")</f>
        <v>598833244</v>
      </c>
      <c r="I35" s="14" t="str">
        <f>IFERROR(INDEX(TENANTS!S$4:S$53,2),"")</f>
        <v>Yaw Boison</v>
      </c>
      <c r="J35" s="14">
        <f>IFERROR(INDEX(TENANTS!U$4:U$53,2),"")</f>
        <v>209988112</v>
      </c>
      <c r="K35" s="14" t="str">
        <f>IFERROR(INDEX(TENANTS!V$4:V$53,2),"")</f>
        <v>5 Adum Street, Kumasi</v>
      </c>
      <c r="L35" s="14" t="str">
        <f>IFERROR(INDEX(TENANTS!P$4:P$53,2),"")</f>
        <v>Mobile Money</v>
      </c>
    </row>
    <row r="36" spans="1:12" x14ac:dyDescent="0.2">
      <c r="A36" s="11" t="str">
        <f>IFERROR(INDEX(TENANTS!A$4:A$53,3),"")</f>
        <v>T-003</v>
      </c>
      <c r="B36" s="11" t="str">
        <f>IFERROR(INDEX(TENANTS!B$4:B$53,3),"")</f>
        <v>Benjamin Darko</v>
      </c>
      <c r="C36" s="11" t="str">
        <f>IFERROR(INDEX(TENANTS!F$4:F$53,3),"")</f>
        <v>C-010</v>
      </c>
      <c r="D36" s="12">
        <f>IFERROR(INDEX(TENANTS!L$4:L$53,3),"")</f>
        <v>4100</v>
      </c>
      <c r="E36" s="11" t="str">
        <f>IFERROR(INDEX(TENANTS!M$4:M$53,3),"")</f>
        <v>GHS</v>
      </c>
      <c r="F36" s="13">
        <f>IFERROR(INDEX(TENANTS!J$4:J$53,3),"")</f>
        <v>46024</v>
      </c>
      <c r="G36" s="11" t="str">
        <f ca="1">IFERROR(INDEX(TENANTS!R$4:R$53,3),"")</f>
        <v>Expired</v>
      </c>
      <c r="H36" s="11">
        <f>IFERROR(INDEX(TENANTS!C$4:C$53,3),"")</f>
        <v>545921808</v>
      </c>
      <c r="I36" s="11" t="str">
        <f>IFERROR(INDEX(TENANTS!S$4:S$53,3),"")</f>
        <v>Grace Darko</v>
      </c>
      <c r="J36" s="11">
        <f>IFERROR(INDEX(TENANTS!U$4:U$53,3),"")</f>
        <v>271234567</v>
      </c>
      <c r="K36" s="11" t="str">
        <f>IFERROR(INDEX(TENANTS!V$4:V$53,3),"")</f>
        <v>22 Tafo Road, Kumasi</v>
      </c>
      <c r="L36" s="11" t="str">
        <f>IFERROR(INDEX(TENANTS!P$4:P$53,3),"")</f>
        <v>Cash</v>
      </c>
    </row>
    <row r="37" spans="1:12" x14ac:dyDescent="0.2">
      <c r="A37" s="14">
        <f>IFERROR(INDEX(TENANTS!A$4:A$53,4),"")</f>
        <v>0</v>
      </c>
      <c r="B37" s="14">
        <f>IFERROR(INDEX(TENANTS!B$4:B$53,4),"")</f>
        <v>0</v>
      </c>
      <c r="C37" s="14">
        <f>IFERROR(INDEX(TENANTS!F$4:F$53,4),"")</f>
        <v>0</v>
      </c>
      <c r="D37" s="15">
        <f>IFERROR(INDEX(TENANTS!L$4:L$53,4),"")</f>
        <v>0</v>
      </c>
      <c r="E37" s="14">
        <f>IFERROR(INDEX(TENANTS!M$4:M$53,4),"")</f>
        <v>0</v>
      </c>
      <c r="F37" s="16">
        <f>IFERROR(INDEX(TENANTS!J$4:J$53,4),"")</f>
        <v>0</v>
      </c>
      <c r="G37" s="14">
        <f>IFERROR(INDEX(TENANTS!R$4:R$53,4),"")</f>
        <v>0</v>
      </c>
      <c r="H37" s="14">
        <f>IFERROR(INDEX(TENANTS!C$4:C$53,4),"")</f>
        <v>0</v>
      </c>
      <c r="I37" s="14">
        <f>IFERROR(INDEX(TENANTS!S$4:S$53,4),"")</f>
        <v>0</v>
      </c>
      <c r="J37" s="14">
        <f>IFERROR(INDEX(TENANTS!U$4:U$53,4),"")</f>
        <v>0</v>
      </c>
      <c r="K37" s="14">
        <f>IFERROR(INDEX(TENANTS!V$4:V$53,4),"")</f>
        <v>0</v>
      </c>
      <c r="L37" s="14">
        <f>IFERROR(INDEX(TENANTS!P$4:P$53,4),"")</f>
        <v>0</v>
      </c>
    </row>
    <row r="38" spans="1:12" x14ac:dyDescent="0.2">
      <c r="A38" s="11">
        <f>IFERROR(INDEX(TENANTS!A$4:A$53,5),"")</f>
        <v>0</v>
      </c>
      <c r="B38" s="11">
        <f>IFERROR(INDEX(TENANTS!B$4:B$53,5),"")</f>
        <v>0</v>
      </c>
      <c r="C38" s="11">
        <f>IFERROR(INDEX(TENANTS!F$4:F$53,5),"")</f>
        <v>0</v>
      </c>
      <c r="D38" s="12">
        <f>IFERROR(INDEX(TENANTS!L$4:L$53,5),"")</f>
        <v>0</v>
      </c>
      <c r="E38" s="11">
        <f>IFERROR(INDEX(TENANTS!M$4:M$53,5),"")</f>
        <v>0</v>
      </c>
      <c r="F38" s="13">
        <f>IFERROR(INDEX(TENANTS!J$4:J$53,5),"")</f>
        <v>0</v>
      </c>
      <c r="G38" s="11" t="str">
        <f>IFERROR(INDEX(TENANTS!R$4:R$53,5),"")</f>
        <v>Vacant</v>
      </c>
      <c r="H38" s="11">
        <f>IFERROR(INDEX(TENANTS!C$4:C$53,5),"")</f>
        <v>0</v>
      </c>
      <c r="I38" s="11">
        <f>IFERROR(INDEX(TENANTS!S$4:S$53,5),"")</f>
        <v>0</v>
      </c>
      <c r="J38" s="11">
        <f>IFERROR(INDEX(TENANTS!U$4:U$53,5),"")</f>
        <v>0</v>
      </c>
      <c r="K38" s="11">
        <f>IFERROR(INDEX(TENANTS!V$4:V$53,5),"")</f>
        <v>0</v>
      </c>
      <c r="L38" s="11">
        <f>IFERROR(INDEX(TENANTS!P$4:P$53,5),"")</f>
        <v>0</v>
      </c>
    </row>
    <row r="39" spans="1:12" x14ac:dyDescent="0.2">
      <c r="A39" s="14">
        <f>IFERROR(INDEX(TENANTS!A$4:A$53,6),"")</f>
        <v>0</v>
      </c>
      <c r="B39" s="14">
        <f>IFERROR(INDEX(TENANTS!B$4:B$53,6),"")</f>
        <v>0</v>
      </c>
      <c r="C39" s="14">
        <f>IFERROR(INDEX(TENANTS!F$4:F$53,6),"")</f>
        <v>0</v>
      </c>
      <c r="D39" s="15">
        <f>IFERROR(INDEX(TENANTS!L$4:L$53,6),"")</f>
        <v>0</v>
      </c>
      <c r="E39" s="14">
        <f>IFERROR(INDEX(TENANTS!M$4:M$53,6),"")</f>
        <v>0</v>
      </c>
      <c r="F39" s="16">
        <f>IFERROR(INDEX(TENANTS!J$4:J$53,6),"")</f>
        <v>0</v>
      </c>
      <c r="G39" s="14" t="str">
        <f>IFERROR(INDEX(TENANTS!R$4:R$53,6),"")</f>
        <v>Vacant</v>
      </c>
      <c r="H39" s="14">
        <f>IFERROR(INDEX(TENANTS!C$4:C$53,6),"")</f>
        <v>0</v>
      </c>
      <c r="I39" s="14">
        <f>IFERROR(INDEX(TENANTS!S$4:S$53,6),"")</f>
        <v>0</v>
      </c>
      <c r="J39" s="14">
        <f>IFERROR(INDEX(TENANTS!U$4:U$53,6),"")</f>
        <v>0</v>
      </c>
      <c r="K39" s="14">
        <f>IFERROR(INDEX(TENANTS!V$4:V$53,6),"")</f>
        <v>0</v>
      </c>
      <c r="L39" s="14">
        <f>IFERROR(INDEX(TENANTS!P$4:P$53,6),"")</f>
        <v>0</v>
      </c>
    </row>
    <row r="40" spans="1:12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 ht="24" customHeight="1" x14ac:dyDescent="0.2">
      <c r="A41" s="86" t="s">
        <v>105</v>
      </c>
      <c r="B41" s="35"/>
      <c r="C41" s="2"/>
      <c r="D41" s="86" t="s">
        <v>106</v>
      </c>
      <c r="E41" s="35"/>
      <c r="F41" s="2"/>
      <c r="G41" s="86" t="s">
        <v>107</v>
      </c>
      <c r="H41" s="35"/>
      <c r="I41" s="86" t="s">
        <v>108</v>
      </c>
      <c r="J41" s="35"/>
      <c r="K41" s="86" t="s">
        <v>109</v>
      </c>
      <c r="L41" s="35"/>
    </row>
    <row r="42" spans="1:12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 x14ac:dyDescent="0.2">
      <c r="A43" s="85" t="s">
        <v>110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</row>
    <row r="44" spans="1:12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</sheetData>
  <mergeCells count="13">
    <mergeCell ref="A43:L43"/>
    <mergeCell ref="A41:B41"/>
    <mergeCell ref="I25:J25"/>
    <mergeCell ref="A1:L1"/>
    <mergeCell ref="G25:H25"/>
    <mergeCell ref="A32:L32"/>
    <mergeCell ref="G41:H41"/>
    <mergeCell ref="D41:E41"/>
    <mergeCell ref="I41:J41"/>
    <mergeCell ref="K41:L41"/>
    <mergeCell ref="C25:F25"/>
    <mergeCell ref="H21:K22"/>
    <mergeCell ref="A3:L3"/>
  </mergeCells>
  <pageMargins left="0.75" right="0.75" top="1" bottom="1" header="0.5" footer="0.5"/>
  <pageSetup fitToHeight="0"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LOOKUP!$B$2:$B$8</xm:f>
          </x14:formula1>
          <xm:sqref>C1717</xm:sqref>
        </x14:dataValidation>
        <x14:dataValidation type="list" allowBlank="1" xr:uid="{00000000-0002-0000-0200-000001000000}">
          <x14:formula1>
            <xm:f>LOOKUP!$B$18:$B$22</xm:f>
          </x14:formula1>
          <xm:sqref>F1111</xm:sqref>
        </x14:dataValidation>
        <x14:dataValidation type="list" allowBlank="1" xr:uid="{00000000-0002-0000-0200-000002000000}">
          <x14:formula1>
            <xm:f>LOOKUP!$B$14:$B$17</xm:f>
          </x14:formula1>
          <xm:sqref>F1313</xm:sqref>
        </x14:dataValidation>
        <x14:dataValidation type="list" allowBlank="1" xr:uid="{00000000-0002-0000-0200-000003000000}">
          <x14:formula1>
            <xm:f>LOOKUP!$B$23:$B$27</xm:f>
          </x14:formula1>
          <xm:sqref>F1717</xm:sqref>
        </x14:dataValidation>
        <x14:dataValidation type="list" allowBlank="1" xr:uid="{00000000-0002-0000-0200-000004000000}">
          <x14:formula1>
            <xm:f>LOOKUP!$B$30:$B$34</xm:f>
          </x14:formula1>
          <xm:sqref>G25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  <pageSetUpPr fitToPage="1"/>
  </sheetPr>
  <dimension ref="A1:Y53"/>
  <sheetViews>
    <sheetView showGridLines="0" zoomScale="125" workbookViewId="0">
      <pane ySplit="3" topLeftCell="A4" activePane="bottomLeft" state="frozen"/>
      <selection pane="bottomLeft" activeCell="M4" sqref="M4"/>
    </sheetView>
  </sheetViews>
  <sheetFormatPr baseColWidth="10" defaultColWidth="8.83203125" defaultRowHeight="15" x14ac:dyDescent="0.2"/>
  <cols>
    <col min="1" max="1" width="11" customWidth="1"/>
    <col min="2" max="2" width="22" customWidth="1"/>
    <col min="3" max="3" width="14" customWidth="1"/>
    <col min="4" max="4" width="24" customWidth="1"/>
    <col min="5" max="5" width="14" customWidth="1"/>
    <col min="6" max="6" width="10" customWidth="1"/>
    <col min="7" max="8" width="12" customWidth="1"/>
    <col min="9" max="12" width="13" customWidth="1"/>
    <col min="13" max="13" width="10" customWidth="1"/>
    <col min="14" max="15" width="13" customWidth="1"/>
    <col min="16" max="17" width="14" customWidth="1"/>
    <col min="18" max="18" width="12" customWidth="1"/>
    <col min="19" max="19" width="20" customWidth="1"/>
    <col min="20" max="20" width="15" customWidth="1"/>
    <col min="21" max="21" width="16" customWidth="1"/>
    <col min="22" max="22" width="25" customWidth="1"/>
  </cols>
  <sheetData>
    <row r="1" spans="1:25" ht="32" customHeight="1" x14ac:dyDescent="0.2">
      <c r="A1" s="94" t="s">
        <v>111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</row>
    <row r="2" spans="1:25" ht="18" customHeight="1" x14ac:dyDescent="0.2">
      <c r="A2" s="93" t="s">
        <v>112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</row>
    <row r="3" spans="1:25" ht="22" customHeight="1" x14ac:dyDescent="0.2">
      <c r="A3" s="17" t="s">
        <v>17</v>
      </c>
      <c r="B3" s="17" t="s">
        <v>82</v>
      </c>
      <c r="C3" s="17" t="s">
        <v>85</v>
      </c>
      <c r="D3" s="17" t="s">
        <v>88</v>
      </c>
      <c r="E3" s="17" t="s">
        <v>90</v>
      </c>
      <c r="F3" s="17" t="s">
        <v>19</v>
      </c>
      <c r="G3" s="17" t="s">
        <v>94</v>
      </c>
      <c r="H3" s="17" t="s">
        <v>96</v>
      </c>
      <c r="I3" s="17" t="s">
        <v>80</v>
      </c>
      <c r="J3" s="17" t="s">
        <v>83</v>
      </c>
      <c r="K3" s="17" t="s">
        <v>113</v>
      </c>
      <c r="L3" s="17" t="s">
        <v>86</v>
      </c>
      <c r="M3" s="17" t="s">
        <v>60</v>
      </c>
      <c r="N3" s="17" t="s">
        <v>114</v>
      </c>
      <c r="O3" s="17" t="s">
        <v>93</v>
      </c>
      <c r="P3" s="17" t="s">
        <v>95</v>
      </c>
      <c r="Q3" s="17" t="s">
        <v>115</v>
      </c>
      <c r="R3" s="17" t="s">
        <v>22</v>
      </c>
      <c r="S3" s="17" t="s">
        <v>81</v>
      </c>
      <c r="T3" s="17" t="s">
        <v>84</v>
      </c>
      <c r="U3" s="17" t="s">
        <v>87</v>
      </c>
      <c r="V3" s="17" t="s">
        <v>97</v>
      </c>
    </row>
    <row r="4" spans="1:25" x14ac:dyDescent="0.2">
      <c r="A4" s="18" t="s">
        <v>162</v>
      </c>
      <c r="B4" s="18" t="s">
        <v>165</v>
      </c>
      <c r="C4" s="18">
        <v>247045395</v>
      </c>
      <c r="D4" s="18"/>
      <c r="E4" s="18"/>
      <c r="F4" s="18" t="s">
        <v>166</v>
      </c>
      <c r="G4" s="18" t="s">
        <v>167</v>
      </c>
      <c r="H4" s="18"/>
      <c r="I4" s="19">
        <v>46153</v>
      </c>
      <c r="J4" s="19">
        <v>46397</v>
      </c>
      <c r="K4" s="20">
        <f>IFERROR(DATEDIF(I4,J4,"M"),"")</f>
        <v>7</v>
      </c>
      <c r="L4" s="21">
        <v>500</v>
      </c>
      <c r="M4" s="18" t="s">
        <v>61</v>
      </c>
      <c r="N4" s="18"/>
      <c r="O4" s="21">
        <v>4000</v>
      </c>
      <c r="P4" s="18"/>
      <c r="Q4" s="22">
        <f ca="1">IFERROR(IF(J4="","",J4-TODAY()),"")</f>
        <v>176</v>
      </c>
      <c r="R4" s="23" t="str">
        <f ca="1">IFERROR(IF(B4="","Vacant",IF(Q4&lt;0,"Expired",IF(Q4&lt;=30,"Expiring Soon",IF(Q4&lt;=90,"Active - Review","Active")))),"Vacant")</f>
        <v>Active</v>
      </c>
      <c r="S4" s="18"/>
      <c r="T4" s="18"/>
      <c r="U4" s="18"/>
      <c r="V4" s="18"/>
    </row>
    <row r="5" spans="1:25" x14ac:dyDescent="0.2">
      <c r="A5" s="18" t="s">
        <v>118</v>
      </c>
      <c r="B5" s="18" t="s">
        <v>119</v>
      </c>
      <c r="C5" s="18">
        <v>598833244</v>
      </c>
      <c r="D5" s="18" t="s">
        <v>120</v>
      </c>
      <c r="E5" s="18" t="s">
        <v>121</v>
      </c>
      <c r="F5" s="18" t="s">
        <v>122</v>
      </c>
      <c r="G5" s="18" t="s">
        <v>46</v>
      </c>
      <c r="H5" s="18" t="s">
        <v>123</v>
      </c>
      <c r="I5" s="19">
        <v>45884</v>
      </c>
      <c r="J5" s="19">
        <v>46249</v>
      </c>
      <c r="K5" s="20">
        <f>IFERROR(DATEDIF(I5,J5,"M"),"")</f>
        <v>12</v>
      </c>
      <c r="L5" s="21">
        <v>2800</v>
      </c>
      <c r="M5" s="18" t="s">
        <v>61</v>
      </c>
      <c r="N5" s="18" t="s">
        <v>56</v>
      </c>
      <c r="O5" s="21">
        <v>5600</v>
      </c>
      <c r="P5" s="18" t="s">
        <v>69</v>
      </c>
      <c r="Q5" s="22">
        <f ca="1">IFERROR(IF(J5="","",J5-TODAY()),"")</f>
        <v>28</v>
      </c>
      <c r="R5" s="23" t="str">
        <f ca="1">IFERROR(IF(B5="","Vacant",IF(Q5&lt;0,"Expired",IF(Q5&lt;=30,"Expiring Soon",IF(Q5&lt;=90,"Active - Review","Active")))),"Vacant")</f>
        <v>Expiring Soon</v>
      </c>
      <c r="S5" s="18" t="s">
        <v>124</v>
      </c>
      <c r="T5" s="18" t="s">
        <v>125</v>
      </c>
      <c r="U5" s="18">
        <v>209988112</v>
      </c>
      <c r="V5" s="18" t="s">
        <v>126</v>
      </c>
      <c r="W5" t="s">
        <v>164</v>
      </c>
      <c r="Y5" t="s">
        <v>168</v>
      </c>
    </row>
    <row r="6" spans="1:25" x14ac:dyDescent="0.2">
      <c r="A6" s="18" t="s">
        <v>127</v>
      </c>
      <c r="B6" s="18" t="s">
        <v>128</v>
      </c>
      <c r="C6" s="18">
        <v>545921808</v>
      </c>
      <c r="D6" s="18" t="s">
        <v>129</v>
      </c>
      <c r="E6" s="18" t="s">
        <v>130</v>
      </c>
      <c r="F6" s="18" t="s">
        <v>131</v>
      </c>
      <c r="G6" s="18" t="s">
        <v>48</v>
      </c>
      <c r="H6" s="18" t="s">
        <v>132</v>
      </c>
      <c r="I6" s="19">
        <v>45659</v>
      </c>
      <c r="J6" s="19">
        <v>46024</v>
      </c>
      <c r="K6" s="20">
        <f>IFERROR(DATEDIF(I6,J6,"M"),"")</f>
        <v>12</v>
      </c>
      <c r="L6" s="21">
        <v>4100</v>
      </c>
      <c r="M6" s="18" t="s">
        <v>61</v>
      </c>
      <c r="N6" s="18" t="s">
        <v>56</v>
      </c>
      <c r="O6" s="21">
        <v>8200</v>
      </c>
      <c r="P6" s="18" t="s">
        <v>67</v>
      </c>
      <c r="Q6" s="22">
        <f ca="1">IFERROR(IF(J6="","",J6-TODAY()),"")</f>
        <v>-197</v>
      </c>
      <c r="R6" s="23" t="str">
        <f ca="1">IFERROR(IF(B6="","Vacant",IF(Q6&lt;0,"Expired",IF(Q6&lt;=30,"Expiring Soon",IF(Q6&lt;=90,"Active - Review","Active")))),"Vacant")</f>
        <v>Expired</v>
      </c>
      <c r="S6" s="18" t="s">
        <v>133</v>
      </c>
      <c r="T6" s="18" t="s">
        <v>134</v>
      </c>
      <c r="U6" s="18">
        <v>271234567</v>
      </c>
      <c r="V6" s="18" t="s">
        <v>135</v>
      </c>
      <c r="W6" t="s">
        <v>163</v>
      </c>
    </row>
    <row r="7" spans="1:25" x14ac:dyDescent="0.2">
      <c r="A7" s="11"/>
      <c r="B7" s="11"/>
      <c r="C7" s="11"/>
      <c r="D7" s="11"/>
      <c r="E7" s="11"/>
      <c r="F7" s="11"/>
      <c r="G7" s="11"/>
      <c r="H7" s="11"/>
      <c r="I7" s="13"/>
      <c r="J7" s="13"/>
      <c r="K7" s="20"/>
      <c r="L7" s="12"/>
      <c r="M7" s="11"/>
      <c r="N7" s="11"/>
      <c r="O7" s="12"/>
      <c r="P7" s="11"/>
      <c r="Q7" s="22"/>
      <c r="R7" s="23"/>
      <c r="S7" s="11"/>
      <c r="T7" s="11"/>
      <c r="U7" s="11"/>
      <c r="V7" s="11"/>
    </row>
    <row r="8" spans="1:25" x14ac:dyDescent="0.2">
      <c r="A8" s="14"/>
      <c r="B8" s="14"/>
      <c r="C8" s="14"/>
      <c r="D8" s="14"/>
      <c r="E8" s="14"/>
      <c r="F8" s="14"/>
      <c r="G8" s="14"/>
      <c r="H8" s="14"/>
      <c r="I8" s="16"/>
      <c r="J8" s="16"/>
      <c r="K8" s="20">
        <f t="shared" ref="K8:K35" si="0">IFERROR(DATEDIF(I8,J8,"M"),"")</f>
        <v>0</v>
      </c>
      <c r="L8" s="15"/>
      <c r="M8" s="14"/>
      <c r="N8" s="14"/>
      <c r="O8" s="15"/>
      <c r="P8" s="14"/>
      <c r="Q8" s="22" t="str">
        <f t="shared" ref="Q8:Q35" ca="1" si="1">IFERROR(IF(J8="","",J8-TODAY()),"")</f>
        <v/>
      </c>
      <c r="R8" s="23" t="str">
        <f t="shared" ref="R8:R35" si="2">IFERROR(IF(B8="","Vacant",IF(Q8&lt;0,"Expired",IF(Q8&lt;=30,"Expiring Soon",IF(Q8&lt;=90,"Active - Review","Active")))),"Vacant")</f>
        <v>Vacant</v>
      </c>
      <c r="S8" s="14"/>
      <c r="T8" s="14"/>
      <c r="U8" s="14"/>
      <c r="V8" s="14"/>
    </row>
    <row r="9" spans="1:25" x14ac:dyDescent="0.2">
      <c r="A9" s="11"/>
      <c r="B9" s="11"/>
      <c r="C9" s="11"/>
      <c r="D9" s="11"/>
      <c r="E9" s="11"/>
      <c r="F9" s="11"/>
      <c r="G9" s="11"/>
      <c r="H9" s="11"/>
      <c r="I9" s="13"/>
      <c r="J9" s="13"/>
      <c r="K9" s="20">
        <f t="shared" si="0"/>
        <v>0</v>
      </c>
      <c r="L9" s="12"/>
      <c r="M9" s="11"/>
      <c r="N9" s="11"/>
      <c r="O9" s="12"/>
      <c r="P9" s="11"/>
      <c r="Q9" s="22" t="str">
        <f t="shared" ca="1" si="1"/>
        <v/>
      </c>
      <c r="R9" s="23" t="str">
        <f t="shared" si="2"/>
        <v>Vacant</v>
      </c>
      <c r="S9" s="11"/>
      <c r="T9" s="11"/>
      <c r="U9" s="11"/>
      <c r="V9" s="11"/>
    </row>
    <row r="10" spans="1:25" x14ac:dyDescent="0.2">
      <c r="A10" s="14"/>
      <c r="B10" s="14"/>
      <c r="C10" s="14"/>
      <c r="D10" s="14"/>
      <c r="E10" s="14"/>
      <c r="F10" s="14"/>
      <c r="G10" s="14"/>
      <c r="H10" s="14"/>
      <c r="I10" s="16"/>
      <c r="J10" s="16"/>
      <c r="K10" s="20">
        <f t="shared" si="0"/>
        <v>0</v>
      </c>
      <c r="L10" s="15"/>
      <c r="M10" s="14"/>
      <c r="N10" s="14"/>
      <c r="O10" s="15"/>
      <c r="P10" s="14"/>
      <c r="Q10" s="22" t="str">
        <f t="shared" ca="1" si="1"/>
        <v/>
      </c>
      <c r="R10" s="23" t="str">
        <f t="shared" si="2"/>
        <v>Vacant</v>
      </c>
      <c r="S10" s="14"/>
      <c r="T10" s="14"/>
      <c r="U10" s="14"/>
      <c r="V10" s="14"/>
    </row>
    <row r="11" spans="1:25" x14ac:dyDescent="0.2">
      <c r="A11" s="11"/>
      <c r="B11" s="11"/>
      <c r="C11" s="11"/>
      <c r="D11" s="11"/>
      <c r="E11" s="11"/>
      <c r="F11" s="11"/>
      <c r="G11" s="11"/>
      <c r="H11" s="11"/>
      <c r="I11" s="13"/>
      <c r="J11" s="13"/>
      <c r="K11" s="20">
        <f t="shared" si="0"/>
        <v>0</v>
      </c>
      <c r="L11" s="12"/>
      <c r="M11" s="11"/>
      <c r="N11" s="11"/>
      <c r="O11" s="12"/>
      <c r="P11" s="11"/>
      <c r="Q11" s="22" t="str">
        <f t="shared" ca="1" si="1"/>
        <v/>
      </c>
      <c r="R11" s="23" t="str">
        <f t="shared" si="2"/>
        <v>Vacant</v>
      </c>
      <c r="S11" s="11"/>
      <c r="T11" s="11"/>
      <c r="U11" s="11"/>
      <c r="V11" s="11"/>
    </row>
    <row r="12" spans="1:25" x14ac:dyDescent="0.2">
      <c r="A12" s="14"/>
      <c r="B12" s="14"/>
      <c r="C12" s="14"/>
      <c r="D12" s="14"/>
      <c r="E12" s="14"/>
      <c r="F12" s="14"/>
      <c r="G12" s="14"/>
      <c r="H12" s="14"/>
      <c r="I12" s="16"/>
      <c r="J12" s="16"/>
      <c r="K12" s="20">
        <f t="shared" si="0"/>
        <v>0</v>
      </c>
      <c r="L12" s="15"/>
      <c r="M12" s="14"/>
      <c r="N12" s="14"/>
      <c r="O12" s="15"/>
      <c r="P12" s="14"/>
      <c r="Q12" s="22" t="str">
        <f t="shared" ca="1" si="1"/>
        <v/>
      </c>
      <c r="R12" s="23" t="str">
        <f t="shared" si="2"/>
        <v>Vacant</v>
      </c>
      <c r="S12" s="14"/>
      <c r="T12" s="14"/>
      <c r="U12" s="14"/>
      <c r="V12" s="14"/>
    </row>
    <row r="13" spans="1:25" x14ac:dyDescent="0.2">
      <c r="A13" s="11"/>
      <c r="B13" s="11"/>
      <c r="C13" s="11"/>
      <c r="D13" s="11"/>
      <c r="E13" s="11"/>
      <c r="F13" s="11"/>
      <c r="G13" s="11"/>
      <c r="H13" s="11"/>
      <c r="I13" s="13"/>
      <c r="J13" s="13"/>
      <c r="K13" s="20">
        <f t="shared" si="0"/>
        <v>0</v>
      </c>
      <c r="L13" s="12"/>
      <c r="M13" s="11"/>
      <c r="N13" s="11"/>
      <c r="O13" s="12"/>
      <c r="P13" s="11"/>
      <c r="Q13" s="22" t="str">
        <f t="shared" ca="1" si="1"/>
        <v/>
      </c>
      <c r="R13" s="23" t="str">
        <f t="shared" si="2"/>
        <v>Vacant</v>
      </c>
      <c r="S13" s="11"/>
      <c r="T13" s="11"/>
      <c r="U13" s="11"/>
      <c r="V13" s="11"/>
    </row>
    <row r="14" spans="1:25" x14ac:dyDescent="0.2">
      <c r="A14" s="14"/>
      <c r="B14" s="14"/>
      <c r="C14" s="14"/>
      <c r="D14" s="14"/>
      <c r="E14" s="14"/>
      <c r="F14" s="14"/>
      <c r="G14" s="14"/>
      <c r="H14" s="14"/>
      <c r="I14" s="16"/>
      <c r="J14" s="16"/>
      <c r="K14" s="20">
        <f t="shared" si="0"/>
        <v>0</v>
      </c>
      <c r="L14" s="15"/>
      <c r="M14" s="14"/>
      <c r="N14" s="14"/>
      <c r="O14" s="15"/>
      <c r="P14" s="14"/>
      <c r="Q14" s="22" t="str">
        <f t="shared" ca="1" si="1"/>
        <v/>
      </c>
      <c r="R14" s="23" t="str">
        <f t="shared" si="2"/>
        <v>Vacant</v>
      </c>
      <c r="S14" s="14"/>
      <c r="T14" s="14"/>
      <c r="U14" s="14"/>
      <c r="V14" s="14"/>
    </row>
    <row r="15" spans="1:25" x14ac:dyDescent="0.2">
      <c r="A15" s="11"/>
      <c r="B15" s="11"/>
      <c r="C15" s="11"/>
      <c r="D15" s="11"/>
      <c r="E15" s="11"/>
      <c r="F15" s="11"/>
      <c r="G15" s="11"/>
      <c r="H15" s="11"/>
      <c r="I15" s="13"/>
      <c r="J15" s="13"/>
      <c r="K15" s="20">
        <f t="shared" si="0"/>
        <v>0</v>
      </c>
      <c r="L15" s="12"/>
      <c r="M15" s="11"/>
      <c r="N15" s="11"/>
      <c r="O15" s="12"/>
      <c r="P15" s="11"/>
      <c r="Q15" s="22" t="str">
        <f t="shared" ca="1" si="1"/>
        <v/>
      </c>
      <c r="R15" s="23" t="str">
        <f t="shared" si="2"/>
        <v>Vacant</v>
      </c>
      <c r="S15" s="11"/>
      <c r="T15" s="11"/>
      <c r="U15" s="11"/>
      <c r="V15" s="11"/>
    </row>
    <row r="16" spans="1:25" x14ac:dyDescent="0.2">
      <c r="A16" s="14"/>
      <c r="B16" s="14"/>
      <c r="C16" s="14"/>
      <c r="D16" s="14"/>
      <c r="E16" s="14"/>
      <c r="F16" s="14"/>
      <c r="G16" s="14"/>
      <c r="H16" s="14"/>
      <c r="I16" s="16"/>
      <c r="J16" s="16"/>
      <c r="K16" s="20">
        <f t="shared" si="0"/>
        <v>0</v>
      </c>
      <c r="L16" s="15"/>
      <c r="M16" s="14"/>
      <c r="N16" s="14"/>
      <c r="O16" s="15"/>
      <c r="P16" s="14"/>
      <c r="Q16" s="22" t="str">
        <f t="shared" ca="1" si="1"/>
        <v/>
      </c>
      <c r="R16" s="23" t="str">
        <f t="shared" si="2"/>
        <v>Vacant</v>
      </c>
      <c r="S16" s="14"/>
      <c r="T16" s="14"/>
      <c r="U16" s="14"/>
      <c r="V16" s="14"/>
    </row>
    <row r="17" spans="1:22" x14ac:dyDescent="0.2">
      <c r="A17" s="11"/>
      <c r="B17" s="11"/>
      <c r="C17" s="11"/>
      <c r="D17" s="11"/>
      <c r="E17" s="11"/>
      <c r="F17" s="11"/>
      <c r="G17" s="11"/>
      <c r="H17" s="11"/>
      <c r="I17" s="13"/>
      <c r="J17" s="13"/>
      <c r="K17" s="20">
        <f t="shared" si="0"/>
        <v>0</v>
      </c>
      <c r="L17" s="12"/>
      <c r="M17" s="11"/>
      <c r="N17" s="11"/>
      <c r="O17" s="12"/>
      <c r="P17" s="11"/>
      <c r="Q17" s="22" t="str">
        <f t="shared" ca="1" si="1"/>
        <v/>
      </c>
      <c r="R17" s="23" t="str">
        <f t="shared" si="2"/>
        <v>Vacant</v>
      </c>
      <c r="S17" s="11"/>
      <c r="T17" s="11"/>
      <c r="U17" s="11"/>
      <c r="V17" s="11"/>
    </row>
    <row r="18" spans="1:22" x14ac:dyDescent="0.2">
      <c r="A18" s="14"/>
      <c r="B18" s="14"/>
      <c r="C18" s="14"/>
      <c r="D18" s="14"/>
      <c r="E18" s="14"/>
      <c r="F18" s="14"/>
      <c r="G18" s="14"/>
      <c r="H18" s="14"/>
      <c r="I18" s="16"/>
      <c r="J18" s="16"/>
      <c r="K18" s="20">
        <f t="shared" si="0"/>
        <v>0</v>
      </c>
      <c r="L18" s="15"/>
      <c r="M18" s="14"/>
      <c r="N18" s="14"/>
      <c r="O18" s="15"/>
      <c r="P18" s="14"/>
      <c r="Q18" s="22" t="str">
        <f t="shared" ca="1" si="1"/>
        <v/>
      </c>
      <c r="R18" s="23" t="str">
        <f t="shared" si="2"/>
        <v>Vacant</v>
      </c>
      <c r="S18" s="14"/>
      <c r="T18" s="14"/>
      <c r="U18" s="14"/>
      <c r="V18" s="14"/>
    </row>
    <row r="19" spans="1:22" x14ac:dyDescent="0.2">
      <c r="A19" s="11"/>
      <c r="B19" s="11"/>
      <c r="C19" s="11"/>
      <c r="D19" s="11"/>
      <c r="E19" s="11"/>
      <c r="F19" s="11"/>
      <c r="G19" s="11"/>
      <c r="H19" s="11"/>
      <c r="I19" s="13"/>
      <c r="J19" s="13"/>
      <c r="K19" s="20">
        <f t="shared" si="0"/>
        <v>0</v>
      </c>
      <c r="L19" s="12"/>
      <c r="M19" s="11"/>
      <c r="N19" s="11"/>
      <c r="O19" s="12"/>
      <c r="P19" s="11"/>
      <c r="Q19" s="22" t="str">
        <f t="shared" ca="1" si="1"/>
        <v/>
      </c>
      <c r="R19" s="23" t="str">
        <f t="shared" si="2"/>
        <v>Vacant</v>
      </c>
      <c r="S19" s="11"/>
      <c r="T19" s="11"/>
      <c r="U19" s="11"/>
      <c r="V19" s="11"/>
    </row>
    <row r="20" spans="1:22" x14ac:dyDescent="0.2">
      <c r="A20" s="14"/>
      <c r="B20" s="14"/>
      <c r="C20" s="14"/>
      <c r="D20" s="14"/>
      <c r="E20" s="14"/>
      <c r="F20" s="14"/>
      <c r="G20" s="14"/>
      <c r="H20" s="14"/>
      <c r="I20" s="16"/>
      <c r="J20" s="16"/>
      <c r="K20" s="20">
        <f t="shared" si="0"/>
        <v>0</v>
      </c>
      <c r="L20" s="15"/>
      <c r="M20" s="14"/>
      <c r="N20" s="14"/>
      <c r="O20" s="15"/>
      <c r="P20" s="14"/>
      <c r="Q20" s="22" t="str">
        <f t="shared" ca="1" si="1"/>
        <v/>
      </c>
      <c r="R20" s="23" t="str">
        <f t="shared" si="2"/>
        <v>Vacant</v>
      </c>
      <c r="S20" s="14"/>
      <c r="T20" s="14"/>
      <c r="U20" s="14"/>
      <c r="V20" s="14"/>
    </row>
    <row r="21" spans="1:22" x14ac:dyDescent="0.2">
      <c r="A21" s="11"/>
      <c r="B21" s="11"/>
      <c r="C21" s="11"/>
      <c r="D21" s="11"/>
      <c r="E21" s="11"/>
      <c r="F21" s="11"/>
      <c r="G21" s="11"/>
      <c r="H21" s="11"/>
      <c r="I21" s="13"/>
      <c r="J21" s="13"/>
      <c r="K21" s="20">
        <f t="shared" si="0"/>
        <v>0</v>
      </c>
      <c r="L21" s="12"/>
      <c r="M21" s="11"/>
      <c r="N21" s="11"/>
      <c r="O21" s="12"/>
      <c r="P21" s="11"/>
      <c r="Q21" s="22" t="str">
        <f t="shared" ca="1" si="1"/>
        <v/>
      </c>
      <c r="R21" s="23" t="str">
        <f t="shared" si="2"/>
        <v>Vacant</v>
      </c>
      <c r="S21" s="11"/>
      <c r="T21" s="11"/>
      <c r="U21" s="11"/>
      <c r="V21" s="11"/>
    </row>
    <row r="22" spans="1:22" x14ac:dyDescent="0.2">
      <c r="A22" s="14"/>
      <c r="B22" s="14"/>
      <c r="C22" s="14"/>
      <c r="D22" s="14"/>
      <c r="E22" s="14"/>
      <c r="F22" s="14"/>
      <c r="G22" s="14"/>
      <c r="H22" s="14"/>
      <c r="I22" s="16"/>
      <c r="J22" s="16"/>
      <c r="K22" s="20">
        <f t="shared" si="0"/>
        <v>0</v>
      </c>
      <c r="L22" s="15"/>
      <c r="M22" s="14"/>
      <c r="N22" s="14"/>
      <c r="O22" s="15"/>
      <c r="P22" s="14"/>
      <c r="Q22" s="22" t="str">
        <f t="shared" ca="1" si="1"/>
        <v/>
      </c>
      <c r="R22" s="23" t="str">
        <f t="shared" si="2"/>
        <v>Vacant</v>
      </c>
      <c r="S22" s="14"/>
      <c r="T22" s="14"/>
      <c r="U22" s="14"/>
      <c r="V22" s="14"/>
    </row>
    <row r="23" spans="1:22" x14ac:dyDescent="0.2">
      <c r="A23" s="11"/>
      <c r="B23" s="11"/>
      <c r="C23" s="11"/>
      <c r="D23" s="11"/>
      <c r="E23" s="11"/>
      <c r="F23" s="11"/>
      <c r="G23" s="11"/>
      <c r="H23" s="11"/>
      <c r="I23" s="13"/>
      <c r="J23" s="13"/>
      <c r="K23" s="20">
        <f t="shared" si="0"/>
        <v>0</v>
      </c>
      <c r="L23" s="12"/>
      <c r="M23" s="11"/>
      <c r="N23" s="11"/>
      <c r="O23" s="12"/>
      <c r="P23" s="11"/>
      <c r="Q23" s="22" t="str">
        <f t="shared" ca="1" si="1"/>
        <v/>
      </c>
      <c r="R23" s="23" t="str">
        <f t="shared" si="2"/>
        <v>Vacant</v>
      </c>
      <c r="S23" s="11"/>
      <c r="T23" s="11"/>
      <c r="U23" s="11"/>
      <c r="V23" s="11"/>
    </row>
    <row r="24" spans="1:22" x14ac:dyDescent="0.2">
      <c r="A24" s="14"/>
      <c r="B24" s="14"/>
      <c r="C24" s="14"/>
      <c r="D24" s="14"/>
      <c r="E24" s="14"/>
      <c r="F24" s="14"/>
      <c r="G24" s="14"/>
      <c r="H24" s="14"/>
      <c r="I24" s="16"/>
      <c r="J24" s="16"/>
      <c r="K24" s="20">
        <f t="shared" si="0"/>
        <v>0</v>
      </c>
      <c r="L24" s="15"/>
      <c r="M24" s="14"/>
      <c r="N24" s="14"/>
      <c r="O24" s="15"/>
      <c r="P24" s="14"/>
      <c r="Q24" s="22" t="str">
        <f t="shared" ca="1" si="1"/>
        <v/>
      </c>
      <c r="R24" s="23" t="str">
        <f t="shared" si="2"/>
        <v>Vacant</v>
      </c>
      <c r="S24" s="14"/>
      <c r="T24" s="14"/>
      <c r="U24" s="14"/>
      <c r="V24" s="14"/>
    </row>
    <row r="25" spans="1:22" x14ac:dyDescent="0.2">
      <c r="A25" s="11"/>
      <c r="B25" s="11"/>
      <c r="C25" s="11"/>
      <c r="D25" s="11"/>
      <c r="E25" s="11"/>
      <c r="F25" s="11"/>
      <c r="G25" s="11"/>
      <c r="H25" s="11"/>
      <c r="I25" s="13"/>
      <c r="J25" s="13"/>
      <c r="K25" s="20">
        <f t="shared" si="0"/>
        <v>0</v>
      </c>
      <c r="L25" s="12"/>
      <c r="M25" s="11"/>
      <c r="N25" s="11"/>
      <c r="O25" s="12"/>
      <c r="P25" s="11"/>
      <c r="Q25" s="22" t="str">
        <f t="shared" ca="1" si="1"/>
        <v/>
      </c>
      <c r="R25" s="23" t="str">
        <f t="shared" si="2"/>
        <v>Vacant</v>
      </c>
      <c r="S25" s="11"/>
      <c r="T25" s="11"/>
      <c r="U25" s="11"/>
      <c r="V25" s="11"/>
    </row>
    <row r="26" spans="1:22" x14ac:dyDescent="0.2">
      <c r="A26" s="14"/>
      <c r="B26" s="14"/>
      <c r="C26" s="14"/>
      <c r="D26" s="14"/>
      <c r="E26" s="14"/>
      <c r="F26" s="14"/>
      <c r="G26" s="14"/>
      <c r="H26" s="14"/>
      <c r="I26" s="16"/>
      <c r="J26" s="16"/>
      <c r="K26" s="20">
        <f t="shared" si="0"/>
        <v>0</v>
      </c>
      <c r="L26" s="15"/>
      <c r="M26" s="14"/>
      <c r="N26" s="14"/>
      <c r="O26" s="15"/>
      <c r="P26" s="14"/>
      <c r="Q26" s="22" t="str">
        <f t="shared" ca="1" si="1"/>
        <v/>
      </c>
      <c r="R26" s="23" t="str">
        <f t="shared" si="2"/>
        <v>Vacant</v>
      </c>
      <c r="S26" s="14"/>
      <c r="T26" s="14"/>
      <c r="U26" s="14"/>
      <c r="V26" s="14"/>
    </row>
    <row r="27" spans="1:22" x14ac:dyDescent="0.2">
      <c r="A27" s="11"/>
      <c r="B27" s="11"/>
      <c r="C27" s="11"/>
      <c r="D27" s="11"/>
      <c r="E27" s="11"/>
      <c r="F27" s="11"/>
      <c r="G27" s="11"/>
      <c r="H27" s="11"/>
      <c r="I27" s="13"/>
      <c r="J27" s="13"/>
      <c r="K27" s="20">
        <f t="shared" si="0"/>
        <v>0</v>
      </c>
      <c r="L27" s="12"/>
      <c r="M27" s="11"/>
      <c r="N27" s="11"/>
      <c r="O27" s="12"/>
      <c r="P27" s="11"/>
      <c r="Q27" s="22" t="str">
        <f t="shared" ca="1" si="1"/>
        <v/>
      </c>
      <c r="R27" s="23" t="str">
        <f t="shared" si="2"/>
        <v>Vacant</v>
      </c>
      <c r="S27" s="11"/>
      <c r="T27" s="11"/>
      <c r="U27" s="11"/>
      <c r="V27" s="11"/>
    </row>
    <row r="28" spans="1:22" x14ac:dyDescent="0.2">
      <c r="A28" s="14"/>
      <c r="B28" s="14"/>
      <c r="C28" s="14"/>
      <c r="D28" s="14"/>
      <c r="E28" s="14"/>
      <c r="F28" s="14"/>
      <c r="G28" s="14"/>
      <c r="H28" s="14"/>
      <c r="I28" s="16"/>
      <c r="J28" s="16"/>
      <c r="K28" s="20">
        <f t="shared" si="0"/>
        <v>0</v>
      </c>
      <c r="L28" s="15"/>
      <c r="M28" s="14"/>
      <c r="N28" s="14"/>
      <c r="O28" s="15"/>
      <c r="P28" s="14"/>
      <c r="Q28" s="22" t="str">
        <f t="shared" ca="1" si="1"/>
        <v/>
      </c>
      <c r="R28" s="23" t="str">
        <f t="shared" si="2"/>
        <v>Vacant</v>
      </c>
      <c r="S28" s="14"/>
      <c r="T28" s="14"/>
      <c r="U28" s="14"/>
      <c r="V28" s="14"/>
    </row>
    <row r="29" spans="1:22" x14ac:dyDescent="0.2">
      <c r="A29" s="11"/>
      <c r="B29" s="11"/>
      <c r="C29" s="11"/>
      <c r="D29" s="11"/>
      <c r="E29" s="11"/>
      <c r="F29" s="11"/>
      <c r="G29" s="11"/>
      <c r="H29" s="11"/>
      <c r="I29" s="13"/>
      <c r="J29" s="13"/>
      <c r="K29" s="20">
        <f t="shared" si="0"/>
        <v>0</v>
      </c>
      <c r="L29" s="12"/>
      <c r="M29" s="11"/>
      <c r="N29" s="11"/>
      <c r="O29" s="12"/>
      <c r="P29" s="11"/>
      <c r="Q29" s="22" t="str">
        <f t="shared" ca="1" si="1"/>
        <v/>
      </c>
      <c r="R29" s="23" t="str">
        <f t="shared" si="2"/>
        <v>Vacant</v>
      </c>
      <c r="S29" s="11"/>
      <c r="T29" s="11"/>
      <c r="U29" s="11"/>
      <c r="V29" s="11"/>
    </row>
    <row r="30" spans="1:22" x14ac:dyDescent="0.2">
      <c r="A30" s="14"/>
      <c r="B30" s="14"/>
      <c r="C30" s="14"/>
      <c r="D30" s="14"/>
      <c r="E30" s="14"/>
      <c r="F30" s="14"/>
      <c r="G30" s="14"/>
      <c r="H30" s="14"/>
      <c r="I30" s="16"/>
      <c r="J30" s="16"/>
      <c r="K30" s="20">
        <f t="shared" si="0"/>
        <v>0</v>
      </c>
      <c r="L30" s="15"/>
      <c r="M30" s="14"/>
      <c r="N30" s="14"/>
      <c r="O30" s="15"/>
      <c r="P30" s="14"/>
      <c r="Q30" s="22" t="str">
        <f t="shared" ca="1" si="1"/>
        <v/>
      </c>
      <c r="R30" s="23" t="str">
        <f t="shared" si="2"/>
        <v>Vacant</v>
      </c>
      <c r="S30" s="14"/>
      <c r="T30" s="14"/>
      <c r="U30" s="14"/>
      <c r="V30" s="14"/>
    </row>
    <row r="31" spans="1:22" x14ac:dyDescent="0.2">
      <c r="A31" s="11"/>
      <c r="B31" s="11"/>
      <c r="C31" s="11"/>
      <c r="D31" s="11"/>
      <c r="E31" s="11"/>
      <c r="F31" s="11"/>
      <c r="G31" s="11"/>
      <c r="H31" s="11"/>
      <c r="I31" s="13"/>
      <c r="J31" s="13"/>
      <c r="K31" s="20">
        <f t="shared" si="0"/>
        <v>0</v>
      </c>
      <c r="L31" s="12"/>
      <c r="M31" s="11"/>
      <c r="N31" s="11"/>
      <c r="O31" s="12"/>
      <c r="P31" s="11"/>
      <c r="Q31" s="22" t="str">
        <f t="shared" ca="1" si="1"/>
        <v/>
      </c>
      <c r="R31" s="23" t="str">
        <f t="shared" si="2"/>
        <v>Vacant</v>
      </c>
      <c r="S31" s="11"/>
      <c r="T31" s="11"/>
      <c r="U31" s="11"/>
      <c r="V31" s="11"/>
    </row>
    <row r="32" spans="1:22" x14ac:dyDescent="0.2">
      <c r="A32" s="14"/>
      <c r="B32" s="14"/>
      <c r="C32" s="14"/>
      <c r="D32" s="14"/>
      <c r="E32" s="14"/>
      <c r="F32" s="14"/>
      <c r="G32" s="14"/>
      <c r="H32" s="14"/>
      <c r="I32" s="16"/>
      <c r="J32" s="16"/>
      <c r="K32" s="20">
        <f t="shared" si="0"/>
        <v>0</v>
      </c>
      <c r="L32" s="15"/>
      <c r="M32" s="14"/>
      <c r="N32" s="14"/>
      <c r="O32" s="15"/>
      <c r="P32" s="14"/>
      <c r="Q32" s="22" t="str">
        <f t="shared" ca="1" si="1"/>
        <v/>
      </c>
      <c r="R32" s="23" t="str">
        <f t="shared" si="2"/>
        <v>Vacant</v>
      </c>
      <c r="S32" s="14"/>
      <c r="T32" s="14"/>
      <c r="U32" s="14"/>
      <c r="V32" s="14"/>
    </row>
    <row r="33" spans="1:22" x14ac:dyDescent="0.2">
      <c r="A33" s="11"/>
      <c r="B33" s="11"/>
      <c r="C33" s="11"/>
      <c r="D33" s="11"/>
      <c r="E33" s="11"/>
      <c r="F33" s="11"/>
      <c r="G33" s="11"/>
      <c r="H33" s="11"/>
      <c r="I33" s="13"/>
      <c r="J33" s="13"/>
      <c r="K33" s="20">
        <f t="shared" si="0"/>
        <v>0</v>
      </c>
      <c r="L33" s="12"/>
      <c r="M33" s="11"/>
      <c r="N33" s="11"/>
      <c r="O33" s="12"/>
      <c r="P33" s="11"/>
      <c r="Q33" s="22" t="str">
        <f t="shared" ca="1" si="1"/>
        <v/>
      </c>
      <c r="R33" s="23" t="str">
        <f t="shared" si="2"/>
        <v>Vacant</v>
      </c>
      <c r="S33" s="11"/>
      <c r="T33" s="11"/>
      <c r="U33" s="11"/>
      <c r="V33" s="11"/>
    </row>
    <row r="34" spans="1:22" x14ac:dyDescent="0.2">
      <c r="A34" s="14"/>
      <c r="B34" s="14"/>
      <c r="C34" s="14"/>
      <c r="D34" s="14"/>
      <c r="E34" s="14"/>
      <c r="F34" s="14"/>
      <c r="G34" s="14"/>
      <c r="H34" s="14"/>
      <c r="I34" s="16"/>
      <c r="J34" s="16"/>
      <c r="K34" s="20">
        <f t="shared" si="0"/>
        <v>0</v>
      </c>
      <c r="L34" s="15"/>
      <c r="M34" s="14"/>
      <c r="N34" s="14"/>
      <c r="O34" s="15"/>
      <c r="P34" s="14"/>
      <c r="Q34" s="22" t="str">
        <f t="shared" ca="1" si="1"/>
        <v/>
      </c>
      <c r="R34" s="23" t="str">
        <f t="shared" si="2"/>
        <v>Vacant</v>
      </c>
      <c r="S34" s="14"/>
      <c r="T34" s="14"/>
      <c r="U34" s="14"/>
      <c r="V34" s="14"/>
    </row>
    <row r="35" spans="1:22" x14ac:dyDescent="0.2">
      <c r="A35" s="11"/>
      <c r="B35" s="11"/>
      <c r="C35" s="11"/>
      <c r="D35" s="11"/>
      <c r="E35" s="11"/>
      <c r="F35" s="11"/>
      <c r="G35" s="11"/>
      <c r="H35" s="11"/>
      <c r="I35" s="13"/>
      <c r="J35" s="13"/>
      <c r="K35" s="20">
        <f t="shared" si="0"/>
        <v>0</v>
      </c>
      <c r="L35" s="12"/>
      <c r="M35" s="11"/>
      <c r="N35" s="11"/>
      <c r="O35" s="12"/>
      <c r="P35" s="11"/>
      <c r="Q35" s="22" t="str">
        <f t="shared" ca="1" si="1"/>
        <v/>
      </c>
      <c r="R35" s="23" t="str">
        <f t="shared" si="2"/>
        <v>Vacant</v>
      </c>
      <c r="S35" s="11"/>
      <c r="T35" s="11"/>
      <c r="U35" s="11"/>
      <c r="V35" s="11"/>
    </row>
    <row r="36" spans="1:22" x14ac:dyDescent="0.2">
      <c r="A36" s="14"/>
      <c r="B36" s="14"/>
      <c r="C36" s="14"/>
      <c r="D36" s="14"/>
      <c r="E36" s="14"/>
      <c r="F36" s="14"/>
      <c r="G36" s="14"/>
      <c r="H36" s="14"/>
      <c r="I36" s="16"/>
      <c r="J36" s="16"/>
      <c r="K36" s="20">
        <f t="shared" ref="K36:K53" si="3">IFERROR(DATEDIF(I36,J36,"M"),"")</f>
        <v>0</v>
      </c>
      <c r="L36" s="15"/>
      <c r="M36" s="14"/>
      <c r="N36" s="14"/>
      <c r="O36" s="15"/>
      <c r="P36" s="14"/>
      <c r="Q36" s="22" t="str">
        <f t="shared" ref="Q36:Q53" ca="1" si="4">IFERROR(IF(J36="","",J36-TODAY()),"")</f>
        <v/>
      </c>
      <c r="R36" s="23" t="str">
        <f t="shared" ref="R36:R53" si="5">IFERROR(IF(B36="","Vacant",IF(Q36&lt;0,"Expired",IF(Q36&lt;=30,"Expiring Soon",IF(Q36&lt;=90,"Active - Review","Active")))),"Vacant")</f>
        <v>Vacant</v>
      </c>
      <c r="S36" s="14"/>
      <c r="T36" s="14"/>
      <c r="U36" s="14"/>
      <c r="V36" s="14"/>
    </row>
    <row r="37" spans="1:22" x14ac:dyDescent="0.2">
      <c r="A37" s="11"/>
      <c r="B37" s="11"/>
      <c r="C37" s="11"/>
      <c r="D37" s="11"/>
      <c r="E37" s="11"/>
      <c r="F37" s="11"/>
      <c r="G37" s="11"/>
      <c r="H37" s="11"/>
      <c r="I37" s="13"/>
      <c r="J37" s="13"/>
      <c r="K37" s="20">
        <f t="shared" si="3"/>
        <v>0</v>
      </c>
      <c r="L37" s="12"/>
      <c r="M37" s="11"/>
      <c r="N37" s="11"/>
      <c r="O37" s="12"/>
      <c r="P37" s="11"/>
      <c r="Q37" s="22" t="str">
        <f t="shared" ca="1" si="4"/>
        <v/>
      </c>
      <c r="R37" s="23" t="str">
        <f t="shared" si="5"/>
        <v>Vacant</v>
      </c>
      <c r="S37" s="11"/>
      <c r="T37" s="11"/>
      <c r="U37" s="11"/>
      <c r="V37" s="11"/>
    </row>
    <row r="38" spans="1:22" x14ac:dyDescent="0.2">
      <c r="A38" s="14"/>
      <c r="B38" s="14"/>
      <c r="C38" s="14"/>
      <c r="D38" s="14"/>
      <c r="E38" s="14"/>
      <c r="F38" s="14"/>
      <c r="G38" s="14"/>
      <c r="H38" s="14"/>
      <c r="I38" s="16"/>
      <c r="J38" s="16"/>
      <c r="K38" s="20">
        <f t="shared" si="3"/>
        <v>0</v>
      </c>
      <c r="L38" s="15"/>
      <c r="M38" s="14"/>
      <c r="N38" s="14"/>
      <c r="O38" s="15"/>
      <c r="P38" s="14"/>
      <c r="Q38" s="22" t="str">
        <f t="shared" ca="1" si="4"/>
        <v/>
      </c>
      <c r="R38" s="23" t="str">
        <f t="shared" si="5"/>
        <v>Vacant</v>
      </c>
      <c r="S38" s="14"/>
      <c r="T38" s="14"/>
      <c r="U38" s="14"/>
      <c r="V38" s="14"/>
    </row>
    <row r="39" spans="1:22" x14ac:dyDescent="0.2">
      <c r="A39" s="11"/>
      <c r="B39" s="11"/>
      <c r="C39" s="11"/>
      <c r="D39" s="11"/>
      <c r="E39" s="11"/>
      <c r="F39" s="11"/>
      <c r="G39" s="11"/>
      <c r="H39" s="11"/>
      <c r="I39" s="13"/>
      <c r="J39" s="13"/>
      <c r="K39" s="20">
        <f t="shared" si="3"/>
        <v>0</v>
      </c>
      <c r="L39" s="12"/>
      <c r="M39" s="11"/>
      <c r="N39" s="11"/>
      <c r="O39" s="12"/>
      <c r="P39" s="11"/>
      <c r="Q39" s="22" t="str">
        <f t="shared" ca="1" si="4"/>
        <v/>
      </c>
      <c r="R39" s="23" t="str">
        <f t="shared" si="5"/>
        <v>Vacant</v>
      </c>
      <c r="S39" s="11"/>
      <c r="T39" s="11"/>
      <c r="U39" s="11"/>
      <c r="V39" s="11"/>
    </row>
    <row r="40" spans="1:22" x14ac:dyDescent="0.2">
      <c r="A40" s="14"/>
      <c r="B40" s="14"/>
      <c r="C40" s="14"/>
      <c r="D40" s="14"/>
      <c r="E40" s="14"/>
      <c r="F40" s="14"/>
      <c r="G40" s="14"/>
      <c r="H40" s="14"/>
      <c r="I40" s="16"/>
      <c r="J40" s="16"/>
      <c r="K40" s="20">
        <f t="shared" si="3"/>
        <v>0</v>
      </c>
      <c r="L40" s="15"/>
      <c r="M40" s="14"/>
      <c r="N40" s="14"/>
      <c r="O40" s="15"/>
      <c r="P40" s="14"/>
      <c r="Q40" s="22" t="str">
        <f t="shared" ca="1" si="4"/>
        <v/>
      </c>
      <c r="R40" s="23" t="str">
        <f t="shared" si="5"/>
        <v>Vacant</v>
      </c>
      <c r="S40" s="14"/>
      <c r="T40" s="14"/>
      <c r="U40" s="14"/>
      <c r="V40" s="14"/>
    </row>
    <row r="41" spans="1:22" x14ac:dyDescent="0.2">
      <c r="A41" s="11"/>
      <c r="B41" s="11"/>
      <c r="C41" s="11"/>
      <c r="D41" s="11"/>
      <c r="E41" s="11"/>
      <c r="F41" s="11"/>
      <c r="G41" s="11"/>
      <c r="H41" s="11"/>
      <c r="I41" s="13"/>
      <c r="J41" s="13"/>
      <c r="K41" s="20">
        <f t="shared" si="3"/>
        <v>0</v>
      </c>
      <c r="L41" s="12"/>
      <c r="M41" s="11"/>
      <c r="N41" s="11"/>
      <c r="O41" s="12"/>
      <c r="P41" s="11"/>
      <c r="Q41" s="22" t="str">
        <f t="shared" ca="1" si="4"/>
        <v/>
      </c>
      <c r="R41" s="23" t="str">
        <f t="shared" si="5"/>
        <v>Vacant</v>
      </c>
      <c r="S41" s="11"/>
      <c r="T41" s="11"/>
      <c r="U41" s="11"/>
      <c r="V41" s="11"/>
    </row>
    <row r="42" spans="1:22" x14ac:dyDescent="0.2">
      <c r="A42" s="14"/>
      <c r="B42" s="14"/>
      <c r="C42" s="14"/>
      <c r="D42" s="14"/>
      <c r="E42" s="14"/>
      <c r="F42" s="14"/>
      <c r="G42" s="14"/>
      <c r="H42" s="14"/>
      <c r="I42" s="16"/>
      <c r="J42" s="16"/>
      <c r="K42" s="20">
        <f t="shared" si="3"/>
        <v>0</v>
      </c>
      <c r="L42" s="15"/>
      <c r="M42" s="14"/>
      <c r="N42" s="14"/>
      <c r="O42" s="15"/>
      <c r="P42" s="14"/>
      <c r="Q42" s="22" t="str">
        <f t="shared" ca="1" si="4"/>
        <v/>
      </c>
      <c r="R42" s="23" t="str">
        <f t="shared" si="5"/>
        <v>Vacant</v>
      </c>
      <c r="S42" s="14"/>
      <c r="T42" s="14"/>
      <c r="U42" s="14"/>
      <c r="V42" s="14"/>
    </row>
    <row r="43" spans="1:22" x14ac:dyDescent="0.2">
      <c r="A43" s="11"/>
      <c r="B43" s="11"/>
      <c r="C43" s="11"/>
      <c r="D43" s="11"/>
      <c r="E43" s="11"/>
      <c r="F43" s="11"/>
      <c r="G43" s="11"/>
      <c r="H43" s="11"/>
      <c r="I43" s="13"/>
      <c r="J43" s="13"/>
      <c r="K43" s="20">
        <f t="shared" si="3"/>
        <v>0</v>
      </c>
      <c r="L43" s="12"/>
      <c r="M43" s="11"/>
      <c r="N43" s="11"/>
      <c r="O43" s="12"/>
      <c r="P43" s="11"/>
      <c r="Q43" s="22" t="str">
        <f t="shared" ca="1" si="4"/>
        <v/>
      </c>
      <c r="R43" s="23" t="str">
        <f t="shared" si="5"/>
        <v>Vacant</v>
      </c>
      <c r="S43" s="11"/>
      <c r="T43" s="11"/>
      <c r="U43" s="11"/>
      <c r="V43" s="11"/>
    </row>
    <row r="44" spans="1:22" x14ac:dyDescent="0.2">
      <c r="A44" s="14"/>
      <c r="B44" s="14"/>
      <c r="C44" s="14"/>
      <c r="D44" s="14"/>
      <c r="E44" s="14"/>
      <c r="F44" s="14"/>
      <c r="G44" s="14"/>
      <c r="H44" s="14"/>
      <c r="I44" s="16"/>
      <c r="J44" s="16"/>
      <c r="K44" s="20">
        <f t="shared" si="3"/>
        <v>0</v>
      </c>
      <c r="L44" s="15"/>
      <c r="M44" s="14"/>
      <c r="N44" s="14"/>
      <c r="O44" s="15"/>
      <c r="P44" s="14"/>
      <c r="Q44" s="22" t="str">
        <f t="shared" ca="1" si="4"/>
        <v/>
      </c>
      <c r="R44" s="23" t="str">
        <f t="shared" si="5"/>
        <v>Vacant</v>
      </c>
      <c r="S44" s="14"/>
      <c r="T44" s="14"/>
      <c r="U44" s="14"/>
      <c r="V44" s="14"/>
    </row>
    <row r="45" spans="1:22" x14ac:dyDescent="0.2">
      <c r="A45" s="11"/>
      <c r="B45" s="11"/>
      <c r="C45" s="11"/>
      <c r="D45" s="11"/>
      <c r="E45" s="11"/>
      <c r="F45" s="11"/>
      <c r="G45" s="11"/>
      <c r="H45" s="11"/>
      <c r="I45" s="13"/>
      <c r="J45" s="13"/>
      <c r="K45" s="20">
        <f t="shared" si="3"/>
        <v>0</v>
      </c>
      <c r="L45" s="12"/>
      <c r="M45" s="11"/>
      <c r="N45" s="11"/>
      <c r="O45" s="12"/>
      <c r="P45" s="11"/>
      <c r="Q45" s="22" t="str">
        <f t="shared" ca="1" si="4"/>
        <v/>
      </c>
      <c r="R45" s="23" t="str">
        <f t="shared" si="5"/>
        <v>Vacant</v>
      </c>
      <c r="S45" s="11"/>
      <c r="T45" s="11"/>
      <c r="U45" s="11"/>
      <c r="V45" s="11"/>
    </row>
    <row r="46" spans="1:22" x14ac:dyDescent="0.2">
      <c r="A46" s="14"/>
      <c r="B46" s="14"/>
      <c r="C46" s="14"/>
      <c r="D46" s="14"/>
      <c r="E46" s="14"/>
      <c r="F46" s="14"/>
      <c r="G46" s="14"/>
      <c r="H46" s="14"/>
      <c r="I46" s="16"/>
      <c r="J46" s="16"/>
      <c r="K46" s="20">
        <f t="shared" si="3"/>
        <v>0</v>
      </c>
      <c r="L46" s="15"/>
      <c r="M46" s="14"/>
      <c r="N46" s="14"/>
      <c r="O46" s="15"/>
      <c r="P46" s="14"/>
      <c r="Q46" s="22" t="str">
        <f t="shared" ca="1" si="4"/>
        <v/>
      </c>
      <c r="R46" s="23" t="str">
        <f t="shared" si="5"/>
        <v>Vacant</v>
      </c>
      <c r="S46" s="14"/>
      <c r="T46" s="14"/>
      <c r="U46" s="14"/>
      <c r="V46" s="14"/>
    </row>
    <row r="47" spans="1:22" x14ac:dyDescent="0.2">
      <c r="A47" s="11"/>
      <c r="B47" s="11"/>
      <c r="C47" s="11"/>
      <c r="D47" s="11"/>
      <c r="E47" s="11"/>
      <c r="F47" s="11"/>
      <c r="G47" s="11"/>
      <c r="H47" s="11"/>
      <c r="I47" s="13"/>
      <c r="J47" s="13"/>
      <c r="K47" s="20">
        <f t="shared" si="3"/>
        <v>0</v>
      </c>
      <c r="L47" s="12"/>
      <c r="M47" s="11"/>
      <c r="N47" s="11"/>
      <c r="O47" s="12"/>
      <c r="P47" s="11"/>
      <c r="Q47" s="22" t="str">
        <f t="shared" ca="1" si="4"/>
        <v/>
      </c>
      <c r="R47" s="23" t="str">
        <f t="shared" si="5"/>
        <v>Vacant</v>
      </c>
      <c r="S47" s="11"/>
      <c r="T47" s="11"/>
      <c r="U47" s="11"/>
      <c r="V47" s="11"/>
    </row>
    <row r="48" spans="1:22" x14ac:dyDescent="0.2">
      <c r="A48" s="14"/>
      <c r="B48" s="14"/>
      <c r="C48" s="14"/>
      <c r="D48" s="14"/>
      <c r="E48" s="14"/>
      <c r="F48" s="14"/>
      <c r="G48" s="14"/>
      <c r="H48" s="14"/>
      <c r="I48" s="16"/>
      <c r="J48" s="16"/>
      <c r="K48" s="20">
        <f t="shared" si="3"/>
        <v>0</v>
      </c>
      <c r="L48" s="15"/>
      <c r="M48" s="14"/>
      <c r="N48" s="14"/>
      <c r="O48" s="15"/>
      <c r="P48" s="14"/>
      <c r="Q48" s="22" t="str">
        <f t="shared" ca="1" si="4"/>
        <v/>
      </c>
      <c r="R48" s="23" t="str">
        <f t="shared" si="5"/>
        <v>Vacant</v>
      </c>
      <c r="S48" s="14"/>
      <c r="T48" s="14"/>
      <c r="U48" s="14"/>
      <c r="V48" s="14"/>
    </row>
    <row r="49" spans="1:22" x14ac:dyDescent="0.2">
      <c r="A49" s="11"/>
      <c r="B49" s="11"/>
      <c r="C49" s="11"/>
      <c r="D49" s="11"/>
      <c r="E49" s="11"/>
      <c r="F49" s="11"/>
      <c r="G49" s="11"/>
      <c r="H49" s="11"/>
      <c r="I49" s="13"/>
      <c r="J49" s="13"/>
      <c r="K49" s="20">
        <f t="shared" si="3"/>
        <v>0</v>
      </c>
      <c r="L49" s="12"/>
      <c r="M49" s="11"/>
      <c r="N49" s="11"/>
      <c r="O49" s="12"/>
      <c r="P49" s="11"/>
      <c r="Q49" s="22" t="str">
        <f t="shared" ca="1" si="4"/>
        <v/>
      </c>
      <c r="R49" s="23" t="str">
        <f t="shared" si="5"/>
        <v>Vacant</v>
      </c>
      <c r="S49" s="11"/>
      <c r="T49" s="11"/>
      <c r="U49" s="11"/>
      <c r="V49" s="11"/>
    </row>
    <row r="50" spans="1:22" x14ac:dyDescent="0.2">
      <c r="A50" s="14"/>
      <c r="B50" s="14"/>
      <c r="C50" s="14"/>
      <c r="D50" s="14"/>
      <c r="E50" s="14"/>
      <c r="F50" s="14"/>
      <c r="G50" s="14"/>
      <c r="H50" s="14"/>
      <c r="I50" s="16"/>
      <c r="J50" s="16"/>
      <c r="K50" s="20">
        <f t="shared" si="3"/>
        <v>0</v>
      </c>
      <c r="L50" s="15"/>
      <c r="M50" s="14"/>
      <c r="N50" s="14"/>
      <c r="O50" s="15"/>
      <c r="P50" s="14"/>
      <c r="Q50" s="22" t="str">
        <f t="shared" ca="1" si="4"/>
        <v/>
      </c>
      <c r="R50" s="23" t="str">
        <f t="shared" si="5"/>
        <v>Vacant</v>
      </c>
      <c r="S50" s="14"/>
      <c r="T50" s="14"/>
      <c r="U50" s="14"/>
      <c r="V50" s="14"/>
    </row>
    <row r="51" spans="1:22" x14ac:dyDescent="0.2">
      <c r="A51" s="11"/>
      <c r="B51" s="11"/>
      <c r="C51" s="11"/>
      <c r="D51" s="11"/>
      <c r="E51" s="11"/>
      <c r="F51" s="11"/>
      <c r="G51" s="11"/>
      <c r="H51" s="11"/>
      <c r="I51" s="13"/>
      <c r="J51" s="13"/>
      <c r="K51" s="20">
        <f t="shared" si="3"/>
        <v>0</v>
      </c>
      <c r="L51" s="12"/>
      <c r="M51" s="11"/>
      <c r="N51" s="11"/>
      <c r="O51" s="12"/>
      <c r="P51" s="11"/>
      <c r="Q51" s="22" t="str">
        <f t="shared" ca="1" si="4"/>
        <v/>
      </c>
      <c r="R51" s="23" t="str">
        <f t="shared" si="5"/>
        <v>Vacant</v>
      </c>
      <c r="S51" s="11"/>
      <c r="T51" s="11"/>
      <c r="U51" s="11"/>
      <c r="V51" s="11"/>
    </row>
    <row r="52" spans="1:22" x14ac:dyDescent="0.2">
      <c r="A52" s="14"/>
      <c r="B52" s="14"/>
      <c r="C52" s="14"/>
      <c r="D52" s="14"/>
      <c r="E52" s="14"/>
      <c r="F52" s="14"/>
      <c r="G52" s="14"/>
      <c r="H52" s="14"/>
      <c r="I52" s="16"/>
      <c r="J52" s="16"/>
      <c r="K52" s="20">
        <f t="shared" si="3"/>
        <v>0</v>
      </c>
      <c r="L52" s="15"/>
      <c r="M52" s="14"/>
      <c r="N52" s="14"/>
      <c r="O52" s="15"/>
      <c r="P52" s="14"/>
      <c r="Q52" s="22" t="str">
        <f t="shared" ca="1" si="4"/>
        <v/>
      </c>
      <c r="R52" s="23" t="str">
        <f t="shared" si="5"/>
        <v>Vacant</v>
      </c>
      <c r="S52" s="14"/>
      <c r="T52" s="14"/>
      <c r="U52" s="14"/>
      <c r="V52" s="14"/>
    </row>
    <row r="53" spans="1:22" x14ac:dyDescent="0.2">
      <c r="A53" s="11"/>
      <c r="B53" s="11"/>
      <c r="C53" s="11"/>
      <c r="D53" s="11"/>
      <c r="E53" s="11"/>
      <c r="F53" s="11"/>
      <c r="G53" s="11"/>
      <c r="H53" s="11"/>
      <c r="I53" s="13"/>
      <c r="J53" s="13"/>
      <c r="K53" s="20">
        <f t="shared" si="3"/>
        <v>0</v>
      </c>
      <c r="L53" s="12"/>
      <c r="M53" s="11"/>
      <c r="N53" s="11"/>
      <c r="O53" s="12"/>
      <c r="P53" s="11"/>
      <c r="Q53" s="22" t="str">
        <f t="shared" ca="1" si="4"/>
        <v/>
      </c>
      <c r="R53" s="23" t="str">
        <f t="shared" si="5"/>
        <v>Vacant</v>
      </c>
      <c r="S53" s="11"/>
      <c r="T53" s="11"/>
      <c r="U53" s="11"/>
      <c r="V53" s="11"/>
    </row>
  </sheetData>
  <mergeCells count="2">
    <mergeCell ref="A2:V2"/>
    <mergeCell ref="A1:V1"/>
  </mergeCells>
  <conditionalFormatting sqref="Q4:Q53">
    <cfRule type="colorScale" priority="4">
      <colorScale>
        <cfvo type="num" val="0"/>
        <cfvo type="num" val="90"/>
        <cfvo type="num" val="365"/>
        <color rgb="FFE74C3C"/>
        <color rgb="FFF39C12"/>
        <color rgb="FF27AE60"/>
      </colorScale>
    </cfRule>
  </conditionalFormatting>
  <conditionalFormatting sqref="R4:R53">
    <cfRule type="expression" dxfId="5" priority="1">
      <formula>OR(R4="Expired",R4="Terminated")</formula>
    </cfRule>
    <cfRule type="expression" dxfId="4" priority="2">
      <formula>R4="Expiring Soon"</formula>
    </cfRule>
    <cfRule type="expression" dxfId="3" priority="3">
      <formula>OR(R4="Active",R4="Active - Review")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300-000000000000}">
          <x14:formula1>
            <xm:f>LOOKUP!$B$2:$B$8</xm:f>
          </x14:formula1>
          <xm:sqref>G4:G53</xm:sqref>
        </x14:dataValidation>
        <x14:dataValidation type="list" allowBlank="1" xr:uid="{00000000-0002-0000-0300-000001000000}">
          <x14:formula1>
            <xm:f>LOOKUP!$B$18:$B$22</xm:f>
          </x14:formula1>
          <xm:sqref>M4:M53</xm:sqref>
        </x14:dataValidation>
        <x14:dataValidation type="list" allowBlank="1" xr:uid="{00000000-0002-0000-0300-000002000000}">
          <x14:formula1>
            <xm:f>LOOKUP!$B$14:$B$17</xm:f>
          </x14:formula1>
          <xm:sqref>N4:N53</xm:sqref>
        </x14:dataValidation>
        <x14:dataValidation type="list" allowBlank="1" xr:uid="{00000000-0002-0000-0300-000003000000}">
          <x14:formula1>
            <xm:f>LOOKUP!$B$23:$B$27</xm:f>
          </x14:formula1>
          <xm:sqref>P4:P53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E13"/>
  <sheetViews>
    <sheetView workbookViewId="0"/>
  </sheetViews>
  <sheetFormatPr baseColWidth="10" defaultColWidth="8.83203125" defaultRowHeight="15" x14ac:dyDescent="0.2"/>
  <cols>
    <col min="1" max="2" width="12" customWidth="1"/>
    <col min="3" max="3" width="25" customWidth="1"/>
    <col min="4" max="5" width="15" customWidth="1"/>
  </cols>
  <sheetData>
    <row r="1" spans="1:5" x14ac:dyDescent="0.2">
      <c r="A1" t="s">
        <v>136</v>
      </c>
      <c r="B1" t="s">
        <v>17</v>
      </c>
      <c r="C1" t="s">
        <v>18</v>
      </c>
      <c r="D1" t="s">
        <v>86</v>
      </c>
      <c r="E1" t="s">
        <v>22</v>
      </c>
    </row>
    <row r="2" spans="1:5" x14ac:dyDescent="0.2">
      <c r="A2" t="s">
        <v>137</v>
      </c>
      <c r="C2" t="str">
        <f>IFERROR(INDEX(TENANTS!$B$4:$B$53,MATCH(A2,TENANTS!$F$4:$F$53,0)),"Vacant")</f>
        <v>Vacant</v>
      </c>
      <c r="D2" t="str">
        <f>IFERROR(INDEX(TENANTS!$L$4:$L$53,MATCH(A2,TENANTS!$F$4:$F$53,0)),"")</f>
        <v/>
      </c>
      <c r="E2" t="str">
        <f t="shared" ref="E2:E13" si="0">IF(C2="Vacant","Vacant","Occupied")</f>
        <v>Vacant</v>
      </c>
    </row>
    <row r="3" spans="1:5" x14ac:dyDescent="0.2">
      <c r="A3" t="s">
        <v>138</v>
      </c>
      <c r="C3" t="str">
        <f>IFERROR(INDEX(TENANTS!$B$4:$B$53,MATCH(A3,TENANTS!$F$4:$F$53,0)),"Vacant")</f>
        <v>Vacant</v>
      </c>
      <c r="D3" t="str">
        <f>IFERROR(INDEX(TENANTS!$L$4:$L$53,MATCH(A3,TENANTS!$F$4:$F$53,0)),"")</f>
        <v/>
      </c>
      <c r="E3" t="str">
        <f t="shared" si="0"/>
        <v>Vacant</v>
      </c>
    </row>
    <row r="4" spans="1:5" x14ac:dyDescent="0.2">
      <c r="A4" t="s">
        <v>139</v>
      </c>
      <c r="C4" t="str">
        <f>IFERROR(INDEX(TENANTS!$B$4:$B$53,MATCH(A4,TENANTS!$F$4:$F$53,0)),"Vacant")</f>
        <v>Vacant</v>
      </c>
      <c r="D4" t="str">
        <f>IFERROR(INDEX(TENANTS!$L$4:$L$53,MATCH(A4,TENANTS!$F$4:$F$53,0)),"")</f>
        <v/>
      </c>
      <c r="E4" t="str">
        <f t="shared" si="0"/>
        <v>Vacant</v>
      </c>
    </row>
    <row r="5" spans="1:5" x14ac:dyDescent="0.2">
      <c r="A5" t="s">
        <v>140</v>
      </c>
      <c r="C5" t="str">
        <f>IFERROR(INDEX(TENANTS!$B$4:$B$53,MATCH(A5,TENANTS!$F$4:$F$53,0)),"Vacant")</f>
        <v>Vacant</v>
      </c>
      <c r="D5" t="str">
        <f>IFERROR(INDEX(TENANTS!$L$4:$L$53,MATCH(A5,TENANTS!$F$4:$F$53,0)),"")</f>
        <v/>
      </c>
      <c r="E5" t="str">
        <f t="shared" si="0"/>
        <v>Vacant</v>
      </c>
    </row>
    <row r="6" spans="1:5" x14ac:dyDescent="0.2">
      <c r="A6" t="s">
        <v>141</v>
      </c>
      <c r="C6" t="str">
        <f>IFERROR(INDEX(TENANTS!$B$4:$B$53,MATCH(A6,TENANTS!$F$4:$F$53,0)),"Vacant")</f>
        <v>Vacant</v>
      </c>
      <c r="D6" t="str">
        <f>IFERROR(INDEX(TENANTS!$L$4:$L$53,MATCH(A6,TENANTS!$F$4:$F$53,0)),"")</f>
        <v/>
      </c>
      <c r="E6" t="str">
        <f t="shared" si="0"/>
        <v>Vacant</v>
      </c>
    </row>
    <row r="7" spans="1:5" x14ac:dyDescent="0.2">
      <c r="A7" t="s">
        <v>142</v>
      </c>
      <c r="C7" t="str">
        <f>IFERROR(INDEX(TENANTS!$B$4:$B$53,MATCH(A7,TENANTS!$F$4:$F$53,0)),"Vacant")</f>
        <v>Vacant</v>
      </c>
      <c r="D7" t="str">
        <f>IFERROR(INDEX(TENANTS!$L$4:$L$53,MATCH(A7,TENANTS!$F$4:$F$53,0)),"")</f>
        <v/>
      </c>
      <c r="E7" t="str">
        <f t="shared" si="0"/>
        <v>Vacant</v>
      </c>
    </row>
    <row r="8" spans="1:5" x14ac:dyDescent="0.2">
      <c r="A8" t="s">
        <v>143</v>
      </c>
      <c r="C8" t="str">
        <f>IFERROR(INDEX(TENANTS!$B$4:$B$53,MATCH(A8,TENANTS!$F$4:$F$53,0)),"Vacant")</f>
        <v>Vacant</v>
      </c>
      <c r="D8" t="str">
        <f>IFERROR(INDEX(TENANTS!$L$4:$L$53,MATCH(A8,TENANTS!$F$4:$F$53,0)),"")</f>
        <v/>
      </c>
      <c r="E8" t="str">
        <f t="shared" si="0"/>
        <v>Vacant</v>
      </c>
    </row>
    <row r="9" spans="1:5" x14ac:dyDescent="0.2">
      <c r="A9" t="s">
        <v>144</v>
      </c>
      <c r="C9" t="str">
        <f>IFERROR(INDEX(TENANTS!$B$4:$B$53,MATCH(A9,TENANTS!$F$4:$F$53,0)),"Vacant")</f>
        <v>Vacant</v>
      </c>
      <c r="D9" t="str">
        <f>IFERROR(INDEX(TENANTS!$L$4:$L$53,MATCH(A9,TENANTS!$F$4:$F$53,0)),"")</f>
        <v/>
      </c>
      <c r="E9" t="str">
        <f t="shared" si="0"/>
        <v>Vacant</v>
      </c>
    </row>
    <row r="10" spans="1:5" x14ac:dyDescent="0.2">
      <c r="A10" t="s">
        <v>145</v>
      </c>
      <c r="C10" t="str">
        <f>IFERROR(INDEX(TENANTS!$B$4:$B$53,MATCH(A10,TENANTS!$F$4:$F$53,0)),"Vacant")</f>
        <v>Vacant</v>
      </c>
      <c r="D10" t="str">
        <f>IFERROR(INDEX(TENANTS!$L$4:$L$53,MATCH(A10,TENANTS!$F$4:$F$53,0)),"")</f>
        <v/>
      </c>
      <c r="E10" t="str">
        <f t="shared" si="0"/>
        <v>Vacant</v>
      </c>
    </row>
    <row r="11" spans="1:5" x14ac:dyDescent="0.2">
      <c r="A11" t="s">
        <v>146</v>
      </c>
      <c r="C11" t="str">
        <f>IFERROR(INDEX(TENANTS!$B$4:$B$53,MATCH(A11,TENANTS!$F$4:$F$53,0)),"Vacant")</f>
        <v>Vacant</v>
      </c>
      <c r="D11" t="str">
        <f>IFERROR(INDEX(TENANTS!$L$4:$L$53,MATCH(A11,TENANTS!$F$4:$F$53,0)),"")</f>
        <v/>
      </c>
      <c r="E11" t="str">
        <f t="shared" si="0"/>
        <v>Vacant</v>
      </c>
    </row>
    <row r="12" spans="1:5" x14ac:dyDescent="0.2">
      <c r="A12" t="s">
        <v>147</v>
      </c>
      <c r="C12" t="str">
        <f>IFERROR(INDEX(TENANTS!$B$4:$B$53,MATCH(A12,TENANTS!$F$4:$F$53,0)),"Vacant")</f>
        <v>Vacant</v>
      </c>
      <c r="D12" t="str">
        <f>IFERROR(INDEX(TENANTS!$L$4:$L$53,MATCH(A12,TENANTS!$F$4:$F$53,0)),"")</f>
        <v/>
      </c>
      <c r="E12" t="str">
        <f t="shared" si="0"/>
        <v>Vacant</v>
      </c>
    </row>
    <row r="13" spans="1:5" x14ac:dyDescent="0.2">
      <c r="A13" t="s">
        <v>148</v>
      </c>
      <c r="C13" t="str">
        <f>IFERROR(INDEX(TENANTS!$B$4:$B$53,MATCH(A13,TENANTS!$F$4:$F$53,0)),"Vacant")</f>
        <v>Vacant</v>
      </c>
      <c r="D13" t="str">
        <f>IFERROR(INDEX(TENANTS!$L$4:$L$53,MATCH(A13,TENANTS!$F$4:$F$53,0)),"")</f>
        <v/>
      </c>
      <c r="E13" t="str">
        <f t="shared" si="0"/>
        <v>Vacant</v>
      </c>
    </row>
  </sheetData>
  <conditionalFormatting sqref="E2:E13">
    <cfRule type="expression" dxfId="2" priority="1">
      <formula>E2="Occupied"</formula>
    </cfRule>
    <cfRule type="expression" dxfId="1" priority="2">
      <formula>E2="Vacant"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5"/>
    <pageSetUpPr fitToPage="1"/>
  </sheetPr>
  <dimension ref="A1:Q53"/>
  <sheetViews>
    <sheetView showGridLines="0" tabSelected="1" zoomScale="156" workbookViewId="0">
      <pane ySplit="3" topLeftCell="A4" activePane="bottomLeft" state="frozen"/>
      <selection pane="bottomLeft" activeCell="A4" sqref="A4:XFD4"/>
    </sheetView>
  </sheetViews>
  <sheetFormatPr baseColWidth="10" defaultColWidth="8.83203125" defaultRowHeight="15" x14ac:dyDescent="0.2"/>
  <cols>
    <col min="1" max="1" width="10" customWidth="1"/>
    <col min="2" max="2" width="11" customWidth="1"/>
    <col min="3" max="3" width="22" customWidth="1"/>
    <col min="4" max="4" width="10" customWidth="1"/>
    <col min="5" max="7" width="13" customWidth="1"/>
    <col min="8" max="8" width="10" customWidth="1"/>
    <col min="9" max="9" width="11" customWidth="1"/>
    <col min="10" max="10" width="16" customWidth="1"/>
    <col min="11" max="11" width="13" customWidth="1"/>
    <col min="12" max="12" width="14" customWidth="1"/>
    <col min="13" max="13" width="13" customWidth="1"/>
    <col min="14" max="14" width="10" customWidth="1"/>
    <col min="15" max="15" width="13" customWidth="1"/>
    <col min="16" max="16" width="15" customWidth="1"/>
    <col min="17" max="17" width="28" customWidth="1"/>
  </cols>
  <sheetData>
    <row r="1" spans="1:17" ht="32" customHeight="1" x14ac:dyDescent="0.2">
      <c r="A1" s="95" t="s">
        <v>149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17" ht="18" customHeight="1" x14ac:dyDescent="0.2">
      <c r="A2" s="93" t="s">
        <v>150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</row>
    <row r="3" spans="1:17" ht="22" customHeight="1" x14ac:dyDescent="0.2">
      <c r="A3" s="24" t="s">
        <v>151</v>
      </c>
      <c r="B3" s="24" t="s">
        <v>17</v>
      </c>
      <c r="C3" s="24" t="s">
        <v>18</v>
      </c>
      <c r="D3" s="24" t="s">
        <v>19</v>
      </c>
      <c r="E3" s="24" t="s">
        <v>152</v>
      </c>
      <c r="F3" s="24" t="s">
        <v>153</v>
      </c>
      <c r="G3" s="24" t="s">
        <v>20</v>
      </c>
      <c r="H3" s="24" t="s">
        <v>154</v>
      </c>
      <c r="I3" s="24" t="s">
        <v>155</v>
      </c>
      <c r="J3" s="24" t="s">
        <v>156</v>
      </c>
      <c r="K3" s="24" t="s">
        <v>113</v>
      </c>
      <c r="L3" s="24" t="s">
        <v>157</v>
      </c>
      <c r="M3" s="24" t="s">
        <v>86</v>
      </c>
      <c r="N3" s="24" t="s">
        <v>60</v>
      </c>
      <c r="O3" s="24" t="s">
        <v>158</v>
      </c>
      <c r="P3" s="24" t="s">
        <v>159</v>
      </c>
      <c r="Q3" s="24" t="s">
        <v>160</v>
      </c>
    </row>
    <row r="4" spans="1:17" x14ac:dyDescent="0.2">
      <c r="A4" s="18" t="s">
        <v>161</v>
      </c>
      <c r="B4" s="18" t="s">
        <v>79</v>
      </c>
      <c r="C4" s="18" t="s">
        <v>116</v>
      </c>
      <c r="D4" s="18" t="s">
        <v>117</v>
      </c>
      <c r="E4" s="19">
        <v>45292</v>
      </c>
      <c r="F4" s="19">
        <v>45292</v>
      </c>
      <c r="G4" s="19">
        <v>45657</v>
      </c>
      <c r="H4" s="18" t="s">
        <v>74</v>
      </c>
      <c r="I4" s="18">
        <v>0</v>
      </c>
      <c r="J4" s="18"/>
      <c r="K4" s="20">
        <f t="shared" ref="K4:K35" si="0">IFERROR(DATEDIF(F4,G4,"M"),"")</f>
        <v>11</v>
      </c>
      <c r="L4" s="21">
        <v>42000</v>
      </c>
      <c r="M4" s="25">
        <f t="shared" ref="M4:M35" si="1">IFERROR(IF(L4="","",L4/12),"")</f>
        <v>3500</v>
      </c>
      <c r="N4" s="18" t="s">
        <v>61</v>
      </c>
      <c r="O4" s="26">
        <v>0.05</v>
      </c>
      <c r="P4" s="27">
        <f t="shared" ref="P4:P35" si="2">IFERROR(IF(G4="","",G4-365),"")</f>
        <v>45292</v>
      </c>
      <c r="Q4" s="18"/>
    </row>
    <row r="5" spans="1:17" x14ac:dyDescent="0.2">
      <c r="A5" s="11" t="s">
        <v>169</v>
      </c>
      <c r="B5" s="11" t="s">
        <v>162</v>
      </c>
      <c r="C5" s="11" t="s">
        <v>165</v>
      </c>
      <c r="D5" s="11" t="s">
        <v>166</v>
      </c>
      <c r="E5" s="13"/>
      <c r="F5" s="13">
        <v>46331</v>
      </c>
      <c r="G5" s="13">
        <v>46661</v>
      </c>
      <c r="H5" s="11"/>
      <c r="I5" s="11"/>
      <c r="J5" s="11"/>
      <c r="K5" s="20" t="s">
        <v>170</v>
      </c>
      <c r="L5" s="12"/>
      <c r="M5" s="25" t="str">
        <f t="shared" si="1"/>
        <v/>
      </c>
      <c r="N5" s="11" t="s">
        <v>61</v>
      </c>
      <c r="O5" s="28"/>
      <c r="P5" s="27">
        <f t="shared" si="2"/>
        <v>46296</v>
      </c>
      <c r="Q5" s="11"/>
    </row>
    <row r="6" spans="1:17" x14ac:dyDescent="0.2">
      <c r="A6" s="14"/>
      <c r="B6" s="14"/>
      <c r="C6" s="14"/>
      <c r="D6" s="14"/>
      <c r="E6" s="16"/>
      <c r="F6" s="16"/>
      <c r="G6" s="16"/>
      <c r="H6" s="14"/>
      <c r="I6" s="14"/>
      <c r="J6" s="14"/>
      <c r="K6" s="20">
        <f t="shared" si="0"/>
        <v>0</v>
      </c>
      <c r="L6" s="15"/>
      <c r="M6" s="25" t="str">
        <f t="shared" si="1"/>
        <v/>
      </c>
      <c r="N6" s="14"/>
      <c r="O6" s="29"/>
      <c r="P6" s="27" t="str">
        <f t="shared" si="2"/>
        <v/>
      </c>
      <c r="Q6" s="14"/>
    </row>
    <row r="7" spans="1:17" x14ac:dyDescent="0.2">
      <c r="A7" s="11"/>
      <c r="B7" s="11"/>
      <c r="C7" s="11"/>
      <c r="D7" s="11"/>
      <c r="E7" s="13"/>
      <c r="F7" s="13"/>
      <c r="G7" s="13"/>
      <c r="H7" s="11"/>
      <c r="I7" s="11"/>
      <c r="J7" s="11"/>
      <c r="K7" s="20">
        <f t="shared" si="0"/>
        <v>0</v>
      </c>
      <c r="L7" s="12"/>
      <c r="M7" s="25" t="str">
        <f t="shared" si="1"/>
        <v/>
      </c>
      <c r="N7" s="11"/>
      <c r="O7" s="28"/>
      <c r="P7" s="27" t="str">
        <f t="shared" si="2"/>
        <v/>
      </c>
      <c r="Q7" s="11"/>
    </row>
    <row r="8" spans="1:17" x14ac:dyDescent="0.2">
      <c r="A8" s="14"/>
      <c r="B8" s="14"/>
      <c r="C8" s="14"/>
      <c r="D8" s="14"/>
      <c r="E8" s="16"/>
      <c r="F8" s="16"/>
      <c r="G8" s="16"/>
      <c r="H8" s="14"/>
      <c r="I8" s="14"/>
      <c r="J8" s="14"/>
      <c r="K8" s="20">
        <f t="shared" si="0"/>
        <v>0</v>
      </c>
      <c r="L8" s="15"/>
      <c r="M8" s="25" t="str">
        <f t="shared" si="1"/>
        <v/>
      </c>
      <c r="N8" s="14"/>
      <c r="O8" s="29"/>
      <c r="P8" s="27" t="str">
        <f t="shared" si="2"/>
        <v/>
      </c>
      <c r="Q8" s="14"/>
    </row>
    <row r="9" spans="1:17" x14ac:dyDescent="0.2">
      <c r="A9" s="11"/>
      <c r="B9" s="11"/>
      <c r="C9" s="11"/>
      <c r="D9" s="11"/>
      <c r="E9" s="13"/>
      <c r="F9" s="13"/>
      <c r="G9" s="13"/>
      <c r="H9" s="11"/>
      <c r="I9" s="11"/>
      <c r="J9" s="11"/>
      <c r="K9" s="20">
        <f t="shared" si="0"/>
        <v>0</v>
      </c>
      <c r="L9" s="12"/>
      <c r="M9" s="25" t="str">
        <f t="shared" si="1"/>
        <v/>
      </c>
      <c r="N9" s="11"/>
      <c r="O9" s="28"/>
      <c r="P9" s="27" t="str">
        <f t="shared" si="2"/>
        <v/>
      </c>
      <c r="Q9" s="11"/>
    </row>
    <row r="10" spans="1:17" x14ac:dyDescent="0.2">
      <c r="A10" s="14"/>
      <c r="B10" s="14"/>
      <c r="C10" s="14"/>
      <c r="D10" s="14"/>
      <c r="E10" s="16"/>
      <c r="F10" s="16"/>
      <c r="G10" s="16"/>
      <c r="H10" s="14"/>
      <c r="I10" s="14"/>
      <c r="J10" s="14"/>
      <c r="K10" s="20">
        <f t="shared" si="0"/>
        <v>0</v>
      </c>
      <c r="L10" s="15"/>
      <c r="M10" s="25" t="str">
        <f t="shared" si="1"/>
        <v/>
      </c>
      <c r="N10" s="14"/>
      <c r="O10" s="29"/>
      <c r="P10" s="27" t="str">
        <f t="shared" si="2"/>
        <v/>
      </c>
      <c r="Q10" s="14"/>
    </row>
    <row r="11" spans="1:17" x14ac:dyDescent="0.2">
      <c r="A11" s="11"/>
      <c r="B11" s="11"/>
      <c r="C11" s="11"/>
      <c r="D11" s="11"/>
      <c r="E11" s="13"/>
      <c r="F11" s="13"/>
      <c r="G11" s="13"/>
      <c r="H11" s="11"/>
      <c r="I11" s="11"/>
      <c r="J11" s="11"/>
      <c r="K11" s="20">
        <f t="shared" si="0"/>
        <v>0</v>
      </c>
      <c r="L11" s="12"/>
      <c r="M11" s="25" t="str">
        <f t="shared" si="1"/>
        <v/>
      </c>
      <c r="N11" s="11"/>
      <c r="O11" s="28"/>
      <c r="P11" s="27" t="str">
        <f t="shared" si="2"/>
        <v/>
      </c>
      <c r="Q11" s="11"/>
    </row>
    <row r="12" spans="1:17" x14ac:dyDescent="0.2">
      <c r="A12" s="14"/>
      <c r="B12" s="14"/>
      <c r="C12" s="14"/>
      <c r="D12" s="14"/>
      <c r="E12" s="16"/>
      <c r="F12" s="16"/>
      <c r="G12" s="16"/>
      <c r="H12" s="14"/>
      <c r="I12" s="14"/>
      <c r="J12" s="14"/>
      <c r="K12" s="20">
        <f t="shared" si="0"/>
        <v>0</v>
      </c>
      <c r="L12" s="15"/>
      <c r="M12" s="25" t="str">
        <f t="shared" si="1"/>
        <v/>
      </c>
      <c r="N12" s="14"/>
      <c r="O12" s="29"/>
      <c r="P12" s="27" t="str">
        <f t="shared" si="2"/>
        <v/>
      </c>
      <c r="Q12" s="14"/>
    </row>
    <row r="13" spans="1:17" x14ac:dyDescent="0.2">
      <c r="A13" s="11"/>
      <c r="B13" s="11"/>
      <c r="C13" s="11"/>
      <c r="D13" s="11"/>
      <c r="E13" s="13"/>
      <c r="F13" s="13"/>
      <c r="G13" s="13"/>
      <c r="H13" s="11"/>
      <c r="I13" s="11"/>
      <c r="J13" s="11"/>
      <c r="K13" s="20">
        <f t="shared" si="0"/>
        <v>0</v>
      </c>
      <c r="L13" s="12"/>
      <c r="M13" s="25" t="str">
        <f t="shared" si="1"/>
        <v/>
      </c>
      <c r="N13" s="11"/>
      <c r="O13" s="28"/>
      <c r="P13" s="27" t="str">
        <f t="shared" si="2"/>
        <v/>
      </c>
      <c r="Q13" s="11"/>
    </row>
    <row r="14" spans="1:17" x14ac:dyDescent="0.2">
      <c r="A14" s="14"/>
      <c r="B14" s="14"/>
      <c r="C14" s="14"/>
      <c r="D14" s="14"/>
      <c r="E14" s="16"/>
      <c r="F14" s="16"/>
      <c r="G14" s="16"/>
      <c r="H14" s="14"/>
      <c r="I14" s="14"/>
      <c r="J14" s="14"/>
      <c r="K14" s="20">
        <f t="shared" si="0"/>
        <v>0</v>
      </c>
      <c r="L14" s="15"/>
      <c r="M14" s="25" t="str">
        <f t="shared" si="1"/>
        <v/>
      </c>
      <c r="N14" s="14"/>
      <c r="O14" s="29"/>
      <c r="P14" s="27" t="str">
        <f t="shared" si="2"/>
        <v/>
      </c>
      <c r="Q14" s="14"/>
    </row>
    <row r="15" spans="1:17" x14ac:dyDescent="0.2">
      <c r="A15" s="11"/>
      <c r="B15" s="11"/>
      <c r="C15" s="11"/>
      <c r="D15" s="11"/>
      <c r="E15" s="13"/>
      <c r="F15" s="13"/>
      <c r="G15" s="13"/>
      <c r="H15" s="11"/>
      <c r="I15" s="11"/>
      <c r="J15" s="11"/>
      <c r="K15" s="20">
        <f t="shared" si="0"/>
        <v>0</v>
      </c>
      <c r="L15" s="12"/>
      <c r="M15" s="25" t="str">
        <f t="shared" si="1"/>
        <v/>
      </c>
      <c r="N15" s="11"/>
      <c r="O15" s="28"/>
      <c r="P15" s="27" t="str">
        <f t="shared" si="2"/>
        <v/>
      </c>
      <c r="Q15" s="11"/>
    </row>
    <row r="16" spans="1:17" x14ac:dyDescent="0.2">
      <c r="A16" s="14"/>
      <c r="B16" s="14"/>
      <c r="C16" s="14"/>
      <c r="D16" s="14"/>
      <c r="E16" s="16"/>
      <c r="F16" s="16"/>
      <c r="G16" s="16"/>
      <c r="H16" s="14"/>
      <c r="I16" s="14"/>
      <c r="J16" s="14"/>
      <c r="K16" s="20">
        <f t="shared" si="0"/>
        <v>0</v>
      </c>
      <c r="L16" s="15"/>
      <c r="M16" s="25" t="str">
        <f t="shared" si="1"/>
        <v/>
      </c>
      <c r="N16" s="14"/>
      <c r="O16" s="29"/>
      <c r="P16" s="27" t="str">
        <f t="shared" si="2"/>
        <v/>
      </c>
      <c r="Q16" s="14"/>
    </row>
    <row r="17" spans="1:17" x14ac:dyDescent="0.2">
      <c r="A17" s="11"/>
      <c r="B17" s="11"/>
      <c r="C17" s="11"/>
      <c r="D17" s="11"/>
      <c r="E17" s="13"/>
      <c r="F17" s="13"/>
      <c r="G17" s="13"/>
      <c r="H17" s="11"/>
      <c r="I17" s="11"/>
      <c r="J17" s="11"/>
      <c r="K17" s="20">
        <f t="shared" si="0"/>
        <v>0</v>
      </c>
      <c r="L17" s="12"/>
      <c r="M17" s="25" t="str">
        <f t="shared" si="1"/>
        <v/>
      </c>
      <c r="N17" s="11"/>
      <c r="O17" s="28"/>
      <c r="P17" s="27" t="str">
        <f t="shared" si="2"/>
        <v/>
      </c>
      <c r="Q17" s="11"/>
    </row>
    <row r="18" spans="1:17" x14ac:dyDescent="0.2">
      <c r="A18" s="14"/>
      <c r="B18" s="14"/>
      <c r="C18" s="14"/>
      <c r="D18" s="14"/>
      <c r="E18" s="16"/>
      <c r="F18" s="16"/>
      <c r="G18" s="16"/>
      <c r="H18" s="14"/>
      <c r="I18" s="14"/>
      <c r="J18" s="14"/>
      <c r="K18" s="20">
        <f t="shared" si="0"/>
        <v>0</v>
      </c>
      <c r="L18" s="15"/>
      <c r="M18" s="25" t="str">
        <f t="shared" si="1"/>
        <v/>
      </c>
      <c r="N18" s="14"/>
      <c r="O18" s="29"/>
      <c r="P18" s="27" t="str">
        <f t="shared" si="2"/>
        <v/>
      </c>
      <c r="Q18" s="14"/>
    </row>
    <row r="19" spans="1:17" x14ac:dyDescent="0.2">
      <c r="A19" s="11"/>
      <c r="B19" s="11"/>
      <c r="C19" s="11"/>
      <c r="D19" s="11"/>
      <c r="E19" s="13"/>
      <c r="F19" s="13"/>
      <c r="G19" s="13"/>
      <c r="H19" s="11"/>
      <c r="I19" s="11"/>
      <c r="J19" s="11"/>
      <c r="K19" s="20">
        <f t="shared" si="0"/>
        <v>0</v>
      </c>
      <c r="L19" s="12"/>
      <c r="M19" s="25" t="str">
        <f t="shared" si="1"/>
        <v/>
      </c>
      <c r="N19" s="11"/>
      <c r="O19" s="28"/>
      <c r="P19" s="27" t="str">
        <f t="shared" si="2"/>
        <v/>
      </c>
      <c r="Q19" s="11"/>
    </row>
    <row r="20" spans="1:17" x14ac:dyDescent="0.2">
      <c r="A20" s="14"/>
      <c r="B20" s="14"/>
      <c r="C20" s="14"/>
      <c r="D20" s="14"/>
      <c r="E20" s="16"/>
      <c r="F20" s="16"/>
      <c r="G20" s="16"/>
      <c r="H20" s="14"/>
      <c r="I20" s="14"/>
      <c r="J20" s="14"/>
      <c r="K20" s="20">
        <f t="shared" si="0"/>
        <v>0</v>
      </c>
      <c r="L20" s="15"/>
      <c r="M20" s="25" t="str">
        <f t="shared" si="1"/>
        <v/>
      </c>
      <c r="N20" s="14"/>
      <c r="O20" s="29"/>
      <c r="P20" s="27" t="str">
        <f t="shared" si="2"/>
        <v/>
      </c>
      <c r="Q20" s="14"/>
    </row>
    <row r="21" spans="1:17" x14ac:dyDescent="0.2">
      <c r="A21" s="11"/>
      <c r="B21" s="11"/>
      <c r="C21" s="11"/>
      <c r="D21" s="11"/>
      <c r="E21" s="13"/>
      <c r="F21" s="13"/>
      <c r="G21" s="13"/>
      <c r="H21" s="11"/>
      <c r="I21" s="11"/>
      <c r="J21" s="11"/>
      <c r="K21" s="20">
        <f t="shared" si="0"/>
        <v>0</v>
      </c>
      <c r="L21" s="12"/>
      <c r="M21" s="25" t="str">
        <f t="shared" si="1"/>
        <v/>
      </c>
      <c r="N21" s="11"/>
      <c r="O21" s="28"/>
      <c r="P21" s="27" t="str">
        <f t="shared" si="2"/>
        <v/>
      </c>
      <c r="Q21" s="11"/>
    </row>
    <row r="22" spans="1:17" x14ac:dyDescent="0.2">
      <c r="A22" s="14"/>
      <c r="B22" s="14"/>
      <c r="C22" s="14"/>
      <c r="D22" s="14"/>
      <c r="E22" s="16"/>
      <c r="F22" s="16"/>
      <c r="G22" s="16"/>
      <c r="H22" s="14"/>
      <c r="I22" s="14"/>
      <c r="J22" s="14"/>
      <c r="K22" s="20">
        <f t="shared" si="0"/>
        <v>0</v>
      </c>
      <c r="L22" s="15"/>
      <c r="M22" s="25" t="str">
        <f t="shared" si="1"/>
        <v/>
      </c>
      <c r="N22" s="14"/>
      <c r="O22" s="29"/>
      <c r="P22" s="27" t="str">
        <f t="shared" si="2"/>
        <v/>
      </c>
      <c r="Q22" s="14"/>
    </row>
    <row r="23" spans="1:17" x14ac:dyDescent="0.2">
      <c r="A23" s="11"/>
      <c r="B23" s="11"/>
      <c r="C23" s="11"/>
      <c r="D23" s="11"/>
      <c r="E23" s="13"/>
      <c r="F23" s="13"/>
      <c r="G23" s="13"/>
      <c r="H23" s="11"/>
      <c r="I23" s="11"/>
      <c r="J23" s="11"/>
      <c r="K23" s="20">
        <f t="shared" si="0"/>
        <v>0</v>
      </c>
      <c r="L23" s="12"/>
      <c r="M23" s="25" t="str">
        <f t="shared" si="1"/>
        <v/>
      </c>
      <c r="N23" s="11"/>
      <c r="O23" s="28"/>
      <c r="P23" s="27" t="str">
        <f t="shared" si="2"/>
        <v/>
      </c>
      <c r="Q23" s="11"/>
    </row>
    <row r="24" spans="1:17" x14ac:dyDescent="0.2">
      <c r="A24" s="14"/>
      <c r="B24" s="14"/>
      <c r="C24" s="14"/>
      <c r="D24" s="14"/>
      <c r="E24" s="16"/>
      <c r="F24" s="16"/>
      <c r="G24" s="16"/>
      <c r="H24" s="14"/>
      <c r="I24" s="14"/>
      <c r="J24" s="14"/>
      <c r="K24" s="20">
        <f t="shared" si="0"/>
        <v>0</v>
      </c>
      <c r="L24" s="15"/>
      <c r="M24" s="25" t="str">
        <f t="shared" si="1"/>
        <v/>
      </c>
      <c r="N24" s="14"/>
      <c r="O24" s="29"/>
      <c r="P24" s="27" t="str">
        <f t="shared" si="2"/>
        <v/>
      </c>
      <c r="Q24" s="14"/>
    </row>
    <row r="25" spans="1:17" x14ac:dyDescent="0.2">
      <c r="A25" s="11"/>
      <c r="B25" s="11"/>
      <c r="C25" s="11"/>
      <c r="D25" s="11"/>
      <c r="E25" s="13"/>
      <c r="F25" s="13"/>
      <c r="G25" s="13"/>
      <c r="H25" s="11"/>
      <c r="I25" s="11"/>
      <c r="J25" s="11"/>
      <c r="K25" s="20">
        <f t="shared" si="0"/>
        <v>0</v>
      </c>
      <c r="L25" s="12"/>
      <c r="M25" s="25" t="str">
        <f t="shared" si="1"/>
        <v/>
      </c>
      <c r="N25" s="11"/>
      <c r="O25" s="28"/>
      <c r="P25" s="27" t="str">
        <f t="shared" si="2"/>
        <v/>
      </c>
      <c r="Q25" s="11"/>
    </row>
    <row r="26" spans="1:17" x14ac:dyDescent="0.2">
      <c r="A26" s="14"/>
      <c r="B26" s="14"/>
      <c r="C26" s="14"/>
      <c r="D26" s="14"/>
      <c r="E26" s="16"/>
      <c r="F26" s="16"/>
      <c r="G26" s="16"/>
      <c r="H26" s="14"/>
      <c r="I26" s="14"/>
      <c r="J26" s="14"/>
      <c r="K26" s="20">
        <f t="shared" si="0"/>
        <v>0</v>
      </c>
      <c r="L26" s="15"/>
      <c r="M26" s="25" t="str">
        <f t="shared" si="1"/>
        <v/>
      </c>
      <c r="N26" s="14"/>
      <c r="O26" s="29"/>
      <c r="P26" s="27" t="str">
        <f t="shared" si="2"/>
        <v/>
      </c>
      <c r="Q26" s="14"/>
    </row>
    <row r="27" spans="1:17" x14ac:dyDescent="0.2">
      <c r="A27" s="11"/>
      <c r="B27" s="11"/>
      <c r="C27" s="11"/>
      <c r="D27" s="11"/>
      <c r="E27" s="13"/>
      <c r="F27" s="13"/>
      <c r="G27" s="13"/>
      <c r="H27" s="11"/>
      <c r="I27" s="11"/>
      <c r="J27" s="11"/>
      <c r="K27" s="20">
        <f t="shared" si="0"/>
        <v>0</v>
      </c>
      <c r="L27" s="12"/>
      <c r="M27" s="25" t="str">
        <f t="shared" si="1"/>
        <v/>
      </c>
      <c r="N27" s="11"/>
      <c r="O27" s="28"/>
      <c r="P27" s="27" t="str">
        <f t="shared" si="2"/>
        <v/>
      </c>
      <c r="Q27" s="11"/>
    </row>
    <row r="28" spans="1:17" x14ac:dyDescent="0.2">
      <c r="A28" s="14"/>
      <c r="B28" s="14"/>
      <c r="C28" s="14"/>
      <c r="D28" s="14"/>
      <c r="E28" s="16"/>
      <c r="F28" s="16"/>
      <c r="G28" s="16"/>
      <c r="H28" s="14"/>
      <c r="I28" s="14"/>
      <c r="J28" s="14"/>
      <c r="K28" s="20">
        <f t="shared" si="0"/>
        <v>0</v>
      </c>
      <c r="L28" s="15"/>
      <c r="M28" s="25" t="str">
        <f t="shared" si="1"/>
        <v/>
      </c>
      <c r="N28" s="14"/>
      <c r="O28" s="29"/>
      <c r="P28" s="27" t="str">
        <f t="shared" si="2"/>
        <v/>
      </c>
      <c r="Q28" s="14"/>
    </row>
    <row r="29" spans="1:17" x14ac:dyDescent="0.2">
      <c r="A29" s="11"/>
      <c r="B29" s="11"/>
      <c r="C29" s="11"/>
      <c r="D29" s="11"/>
      <c r="E29" s="13"/>
      <c r="F29" s="13"/>
      <c r="G29" s="13"/>
      <c r="H29" s="11"/>
      <c r="I29" s="11"/>
      <c r="J29" s="11"/>
      <c r="K29" s="20">
        <f t="shared" si="0"/>
        <v>0</v>
      </c>
      <c r="L29" s="12"/>
      <c r="M29" s="25" t="str">
        <f t="shared" si="1"/>
        <v/>
      </c>
      <c r="N29" s="11"/>
      <c r="O29" s="28"/>
      <c r="P29" s="27" t="str">
        <f t="shared" si="2"/>
        <v/>
      </c>
      <c r="Q29" s="11"/>
    </row>
    <row r="30" spans="1:17" x14ac:dyDescent="0.2">
      <c r="A30" s="14"/>
      <c r="B30" s="14"/>
      <c r="C30" s="14"/>
      <c r="D30" s="14"/>
      <c r="E30" s="16"/>
      <c r="F30" s="16"/>
      <c r="G30" s="16"/>
      <c r="H30" s="14"/>
      <c r="I30" s="14"/>
      <c r="J30" s="14"/>
      <c r="K30" s="20">
        <f t="shared" si="0"/>
        <v>0</v>
      </c>
      <c r="L30" s="15"/>
      <c r="M30" s="25" t="str">
        <f t="shared" si="1"/>
        <v/>
      </c>
      <c r="N30" s="14"/>
      <c r="O30" s="29"/>
      <c r="P30" s="27" t="str">
        <f t="shared" si="2"/>
        <v/>
      </c>
      <c r="Q30" s="14"/>
    </row>
    <row r="31" spans="1:17" x14ac:dyDescent="0.2">
      <c r="A31" s="11"/>
      <c r="B31" s="11"/>
      <c r="C31" s="11"/>
      <c r="D31" s="11"/>
      <c r="E31" s="13"/>
      <c r="F31" s="13"/>
      <c r="G31" s="13"/>
      <c r="H31" s="11"/>
      <c r="I31" s="11"/>
      <c r="J31" s="11"/>
      <c r="K31" s="20">
        <f t="shared" si="0"/>
        <v>0</v>
      </c>
      <c r="L31" s="12"/>
      <c r="M31" s="25" t="str">
        <f t="shared" si="1"/>
        <v/>
      </c>
      <c r="N31" s="11"/>
      <c r="O31" s="28"/>
      <c r="P31" s="27" t="str">
        <f t="shared" si="2"/>
        <v/>
      </c>
      <c r="Q31" s="11"/>
    </row>
    <row r="32" spans="1:17" x14ac:dyDescent="0.2">
      <c r="A32" s="14"/>
      <c r="B32" s="14"/>
      <c r="C32" s="14"/>
      <c r="D32" s="14"/>
      <c r="E32" s="16"/>
      <c r="F32" s="16"/>
      <c r="G32" s="16"/>
      <c r="H32" s="14"/>
      <c r="I32" s="14"/>
      <c r="J32" s="14"/>
      <c r="K32" s="20">
        <f t="shared" si="0"/>
        <v>0</v>
      </c>
      <c r="L32" s="15"/>
      <c r="M32" s="25" t="str">
        <f t="shared" si="1"/>
        <v/>
      </c>
      <c r="N32" s="14"/>
      <c r="O32" s="29"/>
      <c r="P32" s="27" t="str">
        <f t="shared" si="2"/>
        <v/>
      </c>
      <c r="Q32" s="14"/>
    </row>
    <row r="33" spans="1:17" x14ac:dyDescent="0.2">
      <c r="A33" s="11"/>
      <c r="B33" s="11"/>
      <c r="C33" s="11"/>
      <c r="D33" s="11"/>
      <c r="E33" s="13"/>
      <c r="F33" s="13"/>
      <c r="G33" s="13"/>
      <c r="H33" s="11"/>
      <c r="I33" s="11"/>
      <c r="J33" s="11"/>
      <c r="K33" s="20">
        <f t="shared" si="0"/>
        <v>0</v>
      </c>
      <c r="L33" s="12"/>
      <c r="M33" s="25" t="str">
        <f t="shared" si="1"/>
        <v/>
      </c>
      <c r="N33" s="11"/>
      <c r="O33" s="28"/>
      <c r="P33" s="27" t="str">
        <f t="shared" si="2"/>
        <v/>
      </c>
      <c r="Q33" s="11"/>
    </row>
    <row r="34" spans="1:17" x14ac:dyDescent="0.2">
      <c r="A34" s="14"/>
      <c r="B34" s="14"/>
      <c r="C34" s="14"/>
      <c r="D34" s="14"/>
      <c r="E34" s="16"/>
      <c r="F34" s="16"/>
      <c r="G34" s="16"/>
      <c r="H34" s="14"/>
      <c r="I34" s="14"/>
      <c r="J34" s="14"/>
      <c r="K34" s="20">
        <f t="shared" si="0"/>
        <v>0</v>
      </c>
      <c r="L34" s="15"/>
      <c r="M34" s="25" t="str">
        <f t="shared" si="1"/>
        <v/>
      </c>
      <c r="N34" s="14"/>
      <c r="O34" s="29"/>
      <c r="P34" s="27" t="str">
        <f t="shared" si="2"/>
        <v/>
      </c>
      <c r="Q34" s="14"/>
    </row>
    <row r="35" spans="1:17" x14ac:dyDescent="0.2">
      <c r="A35" s="11"/>
      <c r="B35" s="11"/>
      <c r="C35" s="11"/>
      <c r="D35" s="11"/>
      <c r="E35" s="13"/>
      <c r="F35" s="13"/>
      <c r="G35" s="13"/>
      <c r="H35" s="11"/>
      <c r="I35" s="11"/>
      <c r="J35" s="11"/>
      <c r="K35" s="20">
        <f t="shared" si="0"/>
        <v>0</v>
      </c>
      <c r="L35" s="12"/>
      <c r="M35" s="25" t="str">
        <f t="shared" si="1"/>
        <v/>
      </c>
      <c r="N35" s="11"/>
      <c r="O35" s="28"/>
      <c r="P35" s="27" t="str">
        <f t="shared" si="2"/>
        <v/>
      </c>
      <c r="Q35" s="11"/>
    </row>
    <row r="36" spans="1:17" x14ac:dyDescent="0.2">
      <c r="A36" s="14"/>
      <c r="B36" s="14"/>
      <c r="C36" s="14"/>
      <c r="D36" s="14"/>
      <c r="E36" s="16"/>
      <c r="F36" s="16"/>
      <c r="G36" s="16"/>
      <c r="H36" s="14"/>
      <c r="I36" s="14"/>
      <c r="J36" s="14"/>
      <c r="K36" s="20">
        <f t="shared" ref="K36:K53" si="3">IFERROR(DATEDIF(F36,G36,"M"),"")</f>
        <v>0</v>
      </c>
      <c r="L36" s="15"/>
      <c r="M36" s="25" t="str">
        <f t="shared" ref="M36:M53" si="4">IFERROR(IF(L36="","",L36/12),"")</f>
        <v/>
      </c>
      <c r="N36" s="14"/>
      <c r="O36" s="29"/>
      <c r="P36" s="27" t="str">
        <f t="shared" ref="P36:P53" si="5">IFERROR(IF(G36="","",G36-365),"")</f>
        <v/>
      </c>
      <c r="Q36" s="14"/>
    </row>
    <row r="37" spans="1:17" x14ac:dyDescent="0.2">
      <c r="A37" s="11"/>
      <c r="B37" s="11"/>
      <c r="C37" s="11"/>
      <c r="D37" s="11"/>
      <c r="E37" s="13"/>
      <c r="F37" s="13"/>
      <c r="G37" s="13"/>
      <c r="H37" s="11"/>
      <c r="I37" s="11"/>
      <c r="J37" s="11"/>
      <c r="K37" s="20">
        <f t="shared" si="3"/>
        <v>0</v>
      </c>
      <c r="L37" s="12"/>
      <c r="M37" s="25" t="str">
        <f t="shared" si="4"/>
        <v/>
      </c>
      <c r="N37" s="11"/>
      <c r="O37" s="28"/>
      <c r="P37" s="27" t="str">
        <f t="shared" si="5"/>
        <v/>
      </c>
      <c r="Q37" s="11"/>
    </row>
    <row r="38" spans="1:17" x14ac:dyDescent="0.2">
      <c r="A38" s="14"/>
      <c r="B38" s="14"/>
      <c r="C38" s="14"/>
      <c r="D38" s="14"/>
      <c r="E38" s="16"/>
      <c r="F38" s="16"/>
      <c r="G38" s="16"/>
      <c r="H38" s="14"/>
      <c r="I38" s="14"/>
      <c r="J38" s="14"/>
      <c r="K38" s="20">
        <f t="shared" si="3"/>
        <v>0</v>
      </c>
      <c r="L38" s="15"/>
      <c r="M38" s="25" t="str">
        <f t="shared" si="4"/>
        <v/>
      </c>
      <c r="N38" s="14"/>
      <c r="O38" s="29"/>
      <c r="P38" s="27" t="str">
        <f t="shared" si="5"/>
        <v/>
      </c>
      <c r="Q38" s="14"/>
    </row>
    <row r="39" spans="1:17" x14ac:dyDescent="0.2">
      <c r="A39" s="11"/>
      <c r="B39" s="11"/>
      <c r="C39" s="11"/>
      <c r="D39" s="11"/>
      <c r="E39" s="13"/>
      <c r="F39" s="13"/>
      <c r="G39" s="13"/>
      <c r="H39" s="11"/>
      <c r="I39" s="11"/>
      <c r="J39" s="11"/>
      <c r="K39" s="20">
        <f t="shared" si="3"/>
        <v>0</v>
      </c>
      <c r="L39" s="12"/>
      <c r="M39" s="25" t="str">
        <f t="shared" si="4"/>
        <v/>
      </c>
      <c r="N39" s="11"/>
      <c r="O39" s="28"/>
      <c r="P39" s="27" t="str">
        <f t="shared" si="5"/>
        <v/>
      </c>
      <c r="Q39" s="11"/>
    </row>
    <row r="40" spans="1:17" x14ac:dyDescent="0.2">
      <c r="A40" s="14"/>
      <c r="B40" s="14"/>
      <c r="C40" s="14"/>
      <c r="D40" s="14"/>
      <c r="E40" s="16"/>
      <c r="F40" s="16"/>
      <c r="G40" s="16"/>
      <c r="H40" s="14"/>
      <c r="I40" s="14"/>
      <c r="J40" s="14"/>
      <c r="K40" s="20">
        <f t="shared" si="3"/>
        <v>0</v>
      </c>
      <c r="L40" s="15"/>
      <c r="M40" s="25" t="str">
        <f t="shared" si="4"/>
        <v/>
      </c>
      <c r="N40" s="14"/>
      <c r="O40" s="29"/>
      <c r="P40" s="27" t="str">
        <f t="shared" si="5"/>
        <v/>
      </c>
      <c r="Q40" s="14"/>
    </row>
    <row r="41" spans="1:17" x14ac:dyDescent="0.2">
      <c r="A41" s="11"/>
      <c r="B41" s="11"/>
      <c r="C41" s="11"/>
      <c r="D41" s="11"/>
      <c r="E41" s="13"/>
      <c r="F41" s="13"/>
      <c r="G41" s="13"/>
      <c r="H41" s="11"/>
      <c r="I41" s="11"/>
      <c r="J41" s="11"/>
      <c r="K41" s="20">
        <f t="shared" si="3"/>
        <v>0</v>
      </c>
      <c r="L41" s="12"/>
      <c r="M41" s="25" t="str">
        <f t="shared" si="4"/>
        <v/>
      </c>
      <c r="N41" s="11"/>
      <c r="O41" s="28"/>
      <c r="P41" s="27" t="str">
        <f t="shared" si="5"/>
        <v/>
      </c>
      <c r="Q41" s="11"/>
    </row>
    <row r="42" spans="1:17" x14ac:dyDescent="0.2">
      <c r="A42" s="14"/>
      <c r="B42" s="14"/>
      <c r="C42" s="14"/>
      <c r="D42" s="14"/>
      <c r="E42" s="16"/>
      <c r="F42" s="16"/>
      <c r="G42" s="16"/>
      <c r="H42" s="14"/>
      <c r="I42" s="14"/>
      <c r="J42" s="14"/>
      <c r="K42" s="20">
        <f t="shared" si="3"/>
        <v>0</v>
      </c>
      <c r="L42" s="15"/>
      <c r="M42" s="25" t="str">
        <f t="shared" si="4"/>
        <v/>
      </c>
      <c r="N42" s="14"/>
      <c r="O42" s="29"/>
      <c r="P42" s="27" t="str">
        <f t="shared" si="5"/>
        <v/>
      </c>
      <c r="Q42" s="14"/>
    </row>
    <row r="43" spans="1:17" x14ac:dyDescent="0.2">
      <c r="A43" s="11"/>
      <c r="B43" s="11"/>
      <c r="C43" s="11"/>
      <c r="D43" s="11"/>
      <c r="E43" s="13"/>
      <c r="F43" s="13"/>
      <c r="G43" s="13"/>
      <c r="H43" s="11"/>
      <c r="I43" s="11"/>
      <c r="J43" s="11"/>
      <c r="K43" s="20">
        <f t="shared" si="3"/>
        <v>0</v>
      </c>
      <c r="L43" s="12"/>
      <c r="M43" s="25" t="str">
        <f t="shared" si="4"/>
        <v/>
      </c>
      <c r="N43" s="11"/>
      <c r="O43" s="28"/>
      <c r="P43" s="27" t="str">
        <f t="shared" si="5"/>
        <v/>
      </c>
      <c r="Q43" s="11"/>
    </row>
    <row r="44" spans="1:17" x14ac:dyDescent="0.2">
      <c r="A44" s="14"/>
      <c r="B44" s="14"/>
      <c r="C44" s="14"/>
      <c r="D44" s="14"/>
      <c r="E44" s="16"/>
      <c r="F44" s="16"/>
      <c r="G44" s="16"/>
      <c r="H44" s="14"/>
      <c r="I44" s="14"/>
      <c r="J44" s="14"/>
      <c r="K44" s="20">
        <f t="shared" si="3"/>
        <v>0</v>
      </c>
      <c r="L44" s="15"/>
      <c r="M44" s="25" t="str">
        <f t="shared" si="4"/>
        <v/>
      </c>
      <c r="N44" s="14"/>
      <c r="O44" s="29"/>
      <c r="P44" s="27" t="str">
        <f t="shared" si="5"/>
        <v/>
      </c>
      <c r="Q44" s="14"/>
    </row>
    <row r="45" spans="1:17" x14ac:dyDescent="0.2">
      <c r="A45" s="11"/>
      <c r="B45" s="11"/>
      <c r="C45" s="11"/>
      <c r="D45" s="11"/>
      <c r="E45" s="13"/>
      <c r="F45" s="13"/>
      <c r="G45" s="13"/>
      <c r="H45" s="11"/>
      <c r="I45" s="11"/>
      <c r="J45" s="11"/>
      <c r="K45" s="20">
        <f t="shared" si="3"/>
        <v>0</v>
      </c>
      <c r="L45" s="12"/>
      <c r="M45" s="25" t="str">
        <f t="shared" si="4"/>
        <v/>
      </c>
      <c r="N45" s="11"/>
      <c r="O45" s="28"/>
      <c r="P45" s="27" t="str">
        <f t="shared" si="5"/>
        <v/>
      </c>
      <c r="Q45" s="11"/>
    </row>
    <row r="46" spans="1:17" x14ac:dyDescent="0.2">
      <c r="A46" s="14"/>
      <c r="B46" s="14"/>
      <c r="C46" s="14"/>
      <c r="D46" s="14"/>
      <c r="E46" s="16"/>
      <c r="F46" s="16"/>
      <c r="G46" s="16"/>
      <c r="H46" s="14"/>
      <c r="I46" s="14"/>
      <c r="J46" s="14"/>
      <c r="K46" s="20">
        <f t="shared" si="3"/>
        <v>0</v>
      </c>
      <c r="L46" s="15"/>
      <c r="M46" s="25" t="str">
        <f t="shared" si="4"/>
        <v/>
      </c>
      <c r="N46" s="14"/>
      <c r="O46" s="29"/>
      <c r="P46" s="27" t="str">
        <f t="shared" si="5"/>
        <v/>
      </c>
      <c r="Q46" s="14"/>
    </row>
    <row r="47" spans="1:17" x14ac:dyDescent="0.2">
      <c r="A47" s="11"/>
      <c r="B47" s="11"/>
      <c r="C47" s="11"/>
      <c r="D47" s="11"/>
      <c r="E47" s="13"/>
      <c r="F47" s="13"/>
      <c r="G47" s="13"/>
      <c r="H47" s="11"/>
      <c r="I47" s="11"/>
      <c r="J47" s="11"/>
      <c r="K47" s="20">
        <f t="shared" si="3"/>
        <v>0</v>
      </c>
      <c r="L47" s="12"/>
      <c r="M47" s="25" t="str">
        <f t="shared" si="4"/>
        <v/>
      </c>
      <c r="N47" s="11"/>
      <c r="O47" s="28"/>
      <c r="P47" s="27" t="str">
        <f t="shared" si="5"/>
        <v/>
      </c>
      <c r="Q47" s="11"/>
    </row>
    <row r="48" spans="1:17" x14ac:dyDescent="0.2">
      <c r="A48" s="14"/>
      <c r="B48" s="14"/>
      <c r="C48" s="14"/>
      <c r="D48" s="14"/>
      <c r="E48" s="16"/>
      <c r="F48" s="16"/>
      <c r="G48" s="16"/>
      <c r="H48" s="14"/>
      <c r="I48" s="14"/>
      <c r="J48" s="14"/>
      <c r="K48" s="20">
        <f t="shared" si="3"/>
        <v>0</v>
      </c>
      <c r="L48" s="15"/>
      <c r="M48" s="25" t="str">
        <f t="shared" si="4"/>
        <v/>
      </c>
      <c r="N48" s="14"/>
      <c r="O48" s="29"/>
      <c r="P48" s="27" t="str">
        <f t="shared" si="5"/>
        <v/>
      </c>
      <c r="Q48" s="14"/>
    </row>
    <row r="49" spans="1:17" x14ac:dyDescent="0.2">
      <c r="A49" s="11"/>
      <c r="B49" s="11"/>
      <c r="C49" s="11"/>
      <c r="D49" s="11"/>
      <c r="E49" s="13"/>
      <c r="F49" s="13"/>
      <c r="G49" s="13"/>
      <c r="H49" s="11"/>
      <c r="I49" s="11"/>
      <c r="J49" s="11"/>
      <c r="K49" s="20">
        <f t="shared" si="3"/>
        <v>0</v>
      </c>
      <c r="L49" s="12"/>
      <c r="M49" s="25" t="str">
        <f t="shared" si="4"/>
        <v/>
      </c>
      <c r="N49" s="11"/>
      <c r="O49" s="28"/>
      <c r="P49" s="27" t="str">
        <f t="shared" si="5"/>
        <v/>
      </c>
      <c r="Q49" s="11"/>
    </row>
    <row r="50" spans="1:17" x14ac:dyDescent="0.2">
      <c r="A50" s="14"/>
      <c r="B50" s="14"/>
      <c r="C50" s="14"/>
      <c r="D50" s="14"/>
      <c r="E50" s="16"/>
      <c r="F50" s="16"/>
      <c r="G50" s="16"/>
      <c r="H50" s="14"/>
      <c r="I50" s="14"/>
      <c r="J50" s="14"/>
      <c r="K50" s="20">
        <f t="shared" si="3"/>
        <v>0</v>
      </c>
      <c r="L50" s="15"/>
      <c r="M50" s="25" t="str">
        <f t="shared" si="4"/>
        <v/>
      </c>
      <c r="N50" s="14"/>
      <c r="O50" s="29"/>
      <c r="P50" s="27" t="str">
        <f t="shared" si="5"/>
        <v/>
      </c>
      <c r="Q50" s="14"/>
    </row>
    <row r="51" spans="1:17" x14ac:dyDescent="0.2">
      <c r="A51" s="11"/>
      <c r="B51" s="11"/>
      <c r="C51" s="11"/>
      <c r="D51" s="11"/>
      <c r="E51" s="13"/>
      <c r="F51" s="13"/>
      <c r="G51" s="13"/>
      <c r="H51" s="11"/>
      <c r="I51" s="11"/>
      <c r="J51" s="11"/>
      <c r="K51" s="20">
        <f t="shared" si="3"/>
        <v>0</v>
      </c>
      <c r="L51" s="12"/>
      <c r="M51" s="25" t="str">
        <f t="shared" si="4"/>
        <v/>
      </c>
      <c r="N51" s="11"/>
      <c r="O51" s="28"/>
      <c r="P51" s="27" t="str">
        <f t="shared" si="5"/>
        <v/>
      </c>
      <c r="Q51" s="11"/>
    </row>
    <row r="52" spans="1:17" x14ac:dyDescent="0.2">
      <c r="A52" s="14"/>
      <c r="B52" s="14"/>
      <c r="C52" s="14"/>
      <c r="D52" s="14"/>
      <c r="E52" s="16"/>
      <c r="F52" s="16"/>
      <c r="G52" s="16"/>
      <c r="H52" s="14"/>
      <c r="I52" s="14"/>
      <c r="J52" s="14"/>
      <c r="K52" s="20">
        <f t="shared" si="3"/>
        <v>0</v>
      </c>
      <c r="L52" s="15"/>
      <c r="M52" s="25" t="str">
        <f t="shared" si="4"/>
        <v/>
      </c>
      <c r="N52" s="14"/>
      <c r="O52" s="29"/>
      <c r="P52" s="27" t="str">
        <f t="shared" si="5"/>
        <v/>
      </c>
      <c r="Q52" s="14"/>
    </row>
    <row r="53" spans="1:17" x14ac:dyDescent="0.2">
      <c r="A53" s="11"/>
      <c r="B53" s="11"/>
      <c r="C53" s="11"/>
      <c r="D53" s="11"/>
      <c r="E53" s="13"/>
      <c r="F53" s="13"/>
      <c r="G53" s="13"/>
      <c r="H53" s="11"/>
      <c r="I53" s="11"/>
      <c r="J53" s="11"/>
      <c r="K53" s="20">
        <f t="shared" si="3"/>
        <v>0</v>
      </c>
      <c r="L53" s="12"/>
      <c r="M53" s="25" t="str">
        <f t="shared" si="4"/>
        <v/>
      </c>
      <c r="N53" s="11"/>
      <c r="O53" s="28"/>
      <c r="P53" s="27" t="str">
        <f t="shared" si="5"/>
        <v/>
      </c>
      <c r="Q53" s="11"/>
    </row>
  </sheetData>
  <mergeCells count="2">
    <mergeCell ref="A2:Q2"/>
    <mergeCell ref="A1:Q1"/>
  </mergeCells>
  <conditionalFormatting sqref="H4:H53">
    <cfRule type="expression" dxfId="0" priority="1">
      <formula>H4="Yes"</formula>
    </cfRule>
  </conditionalFormatting>
  <pageMargins left="0.75" right="0.75" top="1" bottom="1" header="0.5" footer="0.5"/>
  <pageSetup fitToHeight="0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500-000000000000}">
          <x14:formula1>
            <xm:f>LOOKUP!$B$28:$B$29</xm:f>
          </x14:formula1>
          <xm:sqref>H4:H53</xm:sqref>
        </x14:dataValidation>
        <x14:dataValidation type="list" allowBlank="1" xr:uid="{00000000-0002-0000-0500-000001000000}">
          <x14:formula1>
            <xm:f>LOOKUP!$B$18:$B$22</xm:f>
          </x14:formula1>
          <xm:sqref>N4:N53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LOOKUP</vt:lpstr>
      <vt:lpstr>TENANT FORM</vt:lpstr>
      <vt:lpstr>TENANTS</vt:lpstr>
      <vt:lpstr>ROOMS</vt:lpstr>
      <vt:lpstr>AGREEMENTS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Bright Yeboah-Akowuah</cp:lastModifiedBy>
  <dcterms:created xsi:type="dcterms:W3CDTF">2026-07-13T09:03:24Z</dcterms:created>
  <dcterms:modified xsi:type="dcterms:W3CDTF">2026-07-18T19:40:31Z</dcterms:modified>
</cp:coreProperties>
</file>