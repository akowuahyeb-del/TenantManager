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OOKUP" sheetId="2" state="hidden" r:id="rId2"/>
    <sheet name="TENANT FORM" sheetId="3" state="visible" r:id="rId3"/>
    <sheet name="TENANTS" sheetId="4" state="visible" r:id="rId4"/>
    <sheet name="ROOMS" sheetId="5" state="visible" r:id="rId5"/>
    <sheet name="AGRE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00008B"/>
      <sz val="9"/>
    </font>
    <font>
      <name val="Arial"/>
      <color rgb="001A5276"/>
      <sz val="9"/>
    </font>
    <font>
      <name val="Arial"/>
      <b val="1"/>
      <color rgb="00000000"/>
      <sz val="9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FFFFFF"/>
      <sz val="20"/>
    </font>
    <font>
      <name val="Arial"/>
      <b val="1"/>
      <color rgb="00E67E22"/>
      <sz val="9"/>
    </font>
    <font>
      <name val="Arial"/>
      <b val="1"/>
      <color rgb="00FFFFFF"/>
      <sz val="18"/>
    </font>
    <font>
      <name val="Arial"/>
      <b val="1"/>
      <color rgb="00000000"/>
      <sz val="18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7A589"/>
      </patternFill>
    </fill>
    <fill>
      <patternFill patternType="solid">
        <fgColor rgb="00566573"/>
      </patternFill>
    </fill>
    <fill>
      <patternFill patternType="solid">
        <fgColor rgb="00EAF2FF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67E22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0D6E4E"/>
      </patternFill>
    </fill>
    <fill>
      <patternFill patternType="solid">
        <fgColor rgb="00BFC9CA"/>
      </patternFill>
    </fill>
  </fills>
  <borders count="4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  <border>
      <left style="medium">
        <color rgb="00BFC9CA"/>
      </left>
      <right style="medium">
        <color rgb="00BFC9CA"/>
      </right>
      <top style="medium">
        <color rgb="00BFC9CA"/>
      </top>
      <bottom style="medium">
        <color rgb="00BFC9CA"/>
      </bottom>
    </border>
    <border>
      <left style="thin">
        <color rgb="00BFC9CA"/>
      </left>
      <right style="thin">
        <color rgb="00BFC9CA"/>
      </right>
      <top style="thin">
        <color rgb="00BFC9CA"/>
      </top>
      <bottom style="medium">
        <color rgb="001F3864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10" borderId="0" applyAlignment="1" pivotButton="0" quotePrefix="0" xfId="0">
      <alignment horizontal="center" vertical="center"/>
    </xf>
    <xf numFmtId="0" fontId="16" fillId="11" borderId="0" applyAlignment="1" pivotButton="0" quotePrefix="0" xfId="0">
      <alignment horizontal="center" vertical="center"/>
    </xf>
    <xf numFmtId="3" fontId="16" fillId="12" borderId="0" applyAlignment="1" pivotButton="0" quotePrefix="0" xfId="0">
      <alignment horizontal="center" vertical="center"/>
    </xf>
    <xf numFmtId="3" fontId="16" fillId="13" borderId="0" applyAlignment="1" pivotButton="0" quotePrefix="0" xfId="0">
      <alignment horizontal="center" vertical="center"/>
    </xf>
    <xf numFmtId="165" fontId="1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7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9" fillId="10" borderId="3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2" fillId="8" borderId="1" pivotButton="0" quotePrefix="0" xfId="0"/>
    <xf numFmtId="164" fontId="5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9" borderId="1" pivotButton="0" quotePrefix="0" xfId="0"/>
    <xf numFmtId="164" fontId="5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14" borderId="1" applyAlignment="1" pivotButton="0" quotePrefix="0" xfId="0">
      <alignment horizontal="center" vertical="center"/>
    </xf>
    <xf numFmtId="0" fontId="14" fillId="4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6" borderId="2" pivotButton="0" quotePrefix="0" xfId="0"/>
    <xf numFmtId="0" fontId="6" fillId="2" borderId="0" applyAlignment="1" pivotButton="0" quotePrefix="0" xfId="0">
      <alignment horizontal="center" vertical="center"/>
    </xf>
    <xf numFmtId="0" fontId="0" fillId="6" borderId="2" pivotButton="0" quotePrefix="0" xfId="0"/>
    <xf numFmtId="0" fontId="7" fillId="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left" vertical="center"/>
    </xf>
    <xf numFmtId="1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164" fontId="5" fillId="9" borderId="1" applyAlignment="1" pivotButton="0" quotePrefix="0" xfId="0">
      <alignment horizontal="left" vertical="center"/>
    </xf>
    <xf numFmtId="4" fontId="5" fillId="9" borderId="1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4" fontId="11" fillId="7" borderId="1" applyAlignment="1" pivotButton="0" quotePrefix="0" xfId="0">
      <alignment horizontal="center" vertical="center"/>
    </xf>
    <xf numFmtId="165" fontId="10" fillId="6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left" vertical="center"/>
    </xf>
    <xf numFmtId="165" fontId="5" fillId="9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Arial"/>
        <b val="1"/>
        <color rgb="00E74C3C"/>
        <sz val="10"/>
      </font>
      <fill>
        <patternFill patternType="solid">
          <fgColor rgb="00FADBD8"/>
        </patternFill>
      </fill>
    </dxf>
    <dxf>
      <font>
        <name val="Arial"/>
        <b val="1"/>
        <color rgb="00E67E22"/>
        <sz val="10"/>
      </font>
      <fill>
        <patternFill patternType="solid">
          <fgColor rgb="00FDEBD0"/>
        </patternFill>
      </fill>
    </dxf>
    <dxf>
      <font>
        <name val="Arial"/>
        <b val="1"/>
        <color rgb="001E8449"/>
        <sz val="10"/>
      </font>
      <fill>
        <patternFill patternType="solid">
          <fgColor rgb="00D5F5E3"/>
        </patternFill>
      </fill>
    </dxf>
    <dxf>
      <font>
        <name val="Arial"/>
        <b val="1"/>
        <color rgb="0017A589"/>
        <sz val="10"/>
      </font>
      <fill>
        <patternFill patternType="solid">
          <fgColor rgb="00D1F2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1" t="inlineStr">
        <is>
          <t>🏢   TENANT MANAGEMENT DASHBOARD</t>
        </is>
      </c>
    </row>
    <row r="2" ht="20" customHeight="1">
      <c r="A2" s="2">
        <f>_xlfn.TEXTJOIN("  ·  ",TRUE,"Report Date:",TEXT(TODAY(),"DD MMMM YYYY"))</f>
        <v/>
      </c>
    </row>
    <row r="4" ht="24" customHeight="1">
      <c r="A4" s="3" t="inlineStr">
        <is>
          <t xml:space="preserve">  KEY PERFORMANCE INDICATORS</t>
        </is>
      </c>
    </row>
    <row r="5" ht="20" customHeight="1">
      <c r="A5" s="4" t="inlineStr">
        <is>
          <t>TOTAL UNITS</t>
        </is>
      </c>
      <c r="C5" s="5" t="inlineStr">
        <is>
          <t>ACTIVE LEASES</t>
        </is>
      </c>
      <c r="E5" s="6" t="inlineStr">
        <is>
          <t>EXPIRING ≤ 30 DAYS</t>
        </is>
      </c>
      <c r="G5" s="7" t="inlineStr">
        <is>
          <t>EXPIRED</t>
        </is>
      </c>
      <c r="I5" s="8" t="inlineStr">
        <is>
          <t>TOTAL MONTHLY RENT</t>
        </is>
      </c>
      <c r="K5" s="9" t="inlineStr">
        <is>
          <t>TOTAL ANNUAL RENT</t>
        </is>
      </c>
      <c r="M5" s="4" t="inlineStr">
        <is>
          <t>OCCUPANCY RATE</t>
        </is>
      </c>
    </row>
    <row r="6" ht="20" customHeight="1">
      <c r="A6" s="10">
        <f>COUNTA(TENANTS!B4:B53)</f>
        <v/>
      </c>
      <c r="C6" s="11">
        <f>COUNTIF(TENANTS!R4:R53,"Active")+COUNTIF(TENANTS!R4:R53,"Active - Review")</f>
        <v/>
      </c>
      <c r="E6" s="12">
        <f>COUNTIF(TENANTS!R4:R53,"Expiring Soon")</f>
        <v/>
      </c>
      <c r="G6" s="13">
        <f>COUNTIF(TENANTS!R4:R53,"Expired")</f>
        <v/>
      </c>
      <c r="I6" s="14">
        <f>SUMIF(TENANTS!R4:R53,"Active",TENANTS!L4:L53)+SUMIF(TENANTS!R4:R53,"Active - Review",TENANTS!L4:L53)</f>
        <v/>
      </c>
      <c r="K6" s="15">
        <f>(SUMIF(TENANTS!R4:R53,"Active",TENANTS!L4:L53)+SUMIF(TENANTS!R4:R53,"Active - Review",TENANTS!L4:L53))*12</f>
        <v/>
      </c>
      <c r="M6" s="16">
        <f>IFERROR((COUNTIF(TENANTS!R4:R53,"Active")+COUNTIF(TENANTS!R4:R53,"Active - Review"))/COUNTA(TENANTS!B4:B53),0)</f>
        <v/>
      </c>
    </row>
    <row r="7" ht="28" customHeight="1"/>
    <row r="8" ht="20" customHeight="1"/>
    <row r="9" ht="20" customHeight="1">
      <c r="A9" s="17" t="inlineStr">
        <is>
          <t>Registered tenants</t>
        </is>
      </c>
      <c r="C9" s="18" t="inlineStr">
        <is>
          <t>Currently running</t>
        </is>
      </c>
      <c r="E9" s="19" t="inlineStr">
        <is>
          <t>Urgent renewals needed</t>
        </is>
      </c>
      <c r="G9" s="20" t="inlineStr">
        <is>
          <t>Requires action</t>
        </is>
      </c>
      <c r="I9" s="21" t="inlineStr">
        <is>
          <t>Active leases (GHS)</t>
        </is>
      </c>
      <c r="K9" s="22" t="inlineStr">
        <is>
          <t>Projected full year (GHS)</t>
        </is>
      </c>
      <c r="M9" s="17" t="inlineStr">
        <is>
          <t>Active / Total registered</t>
        </is>
      </c>
    </row>
    <row r="11" ht="22" customHeight="1">
      <c r="A11" s="23" t="inlineStr">
        <is>
          <t xml:space="preserve">  EXPIRY WATCH  —  Leases expiring within 90 days</t>
        </is>
      </c>
    </row>
    <row r="12" ht="20" customHeight="1">
      <c r="A12" s="24" t="inlineStr">
        <is>
          <t>Tenant ID</t>
        </is>
      </c>
      <c r="C12" s="24" t="inlineStr">
        <is>
          <t>Tenant Name</t>
        </is>
      </c>
      <c r="F12" s="24" t="inlineStr">
        <is>
          <t>Unit No.</t>
        </is>
      </c>
      <c r="H12" s="24" t="inlineStr">
        <is>
          <t>Lease End</t>
        </is>
      </c>
      <c r="J12" s="24" t="inlineStr">
        <is>
          <t>Days Left</t>
        </is>
      </c>
      <c r="L12" s="24" t="inlineStr">
        <is>
          <t>Status</t>
        </is>
      </c>
    </row>
    <row r="13" ht="18" customHeight="1">
      <c r="A13" s="25">
        <f>IFERROR(INDEX(TENANTS!A$4:A$53,MATCH(SMALL(IF((TENANTS!Q$4:Q$53&gt;=0)*(TENANTS!Q$4:Q$53&lt;=90),TENANTS!Q$4:Q$53),1),TENANTS!Q$4:Q$53,0)),"—")</f>
        <v/>
      </c>
      <c r="C13" s="26">
        <f>IFERROR(INDEX(TENANTS!B$4:B$53,MATCH(SMALL(IF((TENANTS!Q$4:Q$53&gt;=0)*(TENANTS!Q$4:Q$53&lt;=90),TENANTS!Q$4:Q$53),1),TENANTS!Q$4:Q$53,0)),"—")</f>
        <v/>
      </c>
      <c r="F13" s="25">
        <f>IFERROR(INDEX(TENANTS!F$4:F$53,MATCH(SMALL(IF((TENANTS!Q$4:Q$53&gt;=0)*(TENANTS!Q$4:Q$53&lt;=90),TENANTS!Q$4:Q$53),1),TENANTS!Q$4:Q$53,0)),"—")</f>
        <v/>
      </c>
      <c r="H13" s="27">
        <f>IFERROR(INDEX(TENANTS!J$4:J$53,MATCH(SMALL(IF((TENANTS!Q$4:Q$53&gt;=0)*(TENANTS!Q$4:Q$53&lt;=90),TENANTS!Q$4:Q$53),1),TENANTS!Q$4:Q$53,0)),"—")</f>
        <v/>
      </c>
      <c r="J13" s="28">
        <f>IFERROR(SMALL(IF((TENANTS!Q$4:Q$53&gt;=0)*(TENANTS!Q$4:Q$53&lt;=90),TENANTS!Q$4:Q$53),1),"—")</f>
        <v/>
      </c>
      <c r="L13" s="29">
        <f>IFERROR(INDEX(TENANTS!R$4:R$53,MATCH(SMALL(IF((TENANTS!Q$4:Q$53&gt;=0)*(TENANTS!Q$4:Q$53&lt;=90),TENANTS!Q$4:Q$53),1),TENANTS!Q$4:Q$53,0)),"—")</f>
        <v/>
      </c>
    </row>
    <row r="14" ht="18" customHeight="1">
      <c r="A14" s="30">
        <f>IFERROR(INDEX(TENANTS!A$4:A$53,MATCH(SMALL(IF((TENANTS!Q$4:Q$53&gt;=0)*(TENANTS!Q$4:Q$53&lt;=90),TENANTS!Q$4:Q$53),2),TENANTS!Q$4:Q$53,0)),"—")</f>
        <v/>
      </c>
      <c r="C14" s="31">
        <f>IFERROR(INDEX(TENANTS!B$4:B$53,MATCH(SMALL(IF((TENANTS!Q$4:Q$53&gt;=0)*(TENANTS!Q$4:Q$53&lt;=90),TENANTS!Q$4:Q$53),2),TENANTS!Q$4:Q$53,0)),"—")</f>
        <v/>
      </c>
      <c r="F14" s="30">
        <f>IFERROR(INDEX(TENANTS!F$4:F$53,MATCH(SMALL(IF((TENANTS!Q$4:Q$53&gt;=0)*(TENANTS!Q$4:Q$53&lt;=90),TENANTS!Q$4:Q$53),2),TENANTS!Q$4:Q$53,0)),"—")</f>
        <v/>
      </c>
      <c r="H14" s="32">
        <f>IFERROR(INDEX(TENANTS!J$4:J$53,MATCH(SMALL(IF((TENANTS!Q$4:Q$53&gt;=0)*(TENANTS!Q$4:Q$53&lt;=90),TENANTS!Q$4:Q$53),2),TENANTS!Q$4:Q$53,0)),"—")</f>
        <v/>
      </c>
      <c r="J14" s="33">
        <f>IFERROR(SMALL(IF((TENANTS!Q$4:Q$53&gt;=0)*(TENANTS!Q$4:Q$53&lt;=90),TENANTS!Q$4:Q$53),2),"—")</f>
        <v/>
      </c>
      <c r="L14" s="34">
        <f>IFERROR(INDEX(TENANTS!R$4:R$53,MATCH(SMALL(IF((TENANTS!Q$4:Q$53&gt;=0)*(TENANTS!Q$4:Q$53&lt;=90),TENANTS!Q$4:Q$53),2),TENANTS!Q$4:Q$53,0)),"—")</f>
        <v/>
      </c>
    </row>
    <row r="15" ht="18" customHeight="1">
      <c r="A15" s="25">
        <f>IFERROR(INDEX(TENANTS!A$4:A$53,MATCH(SMALL(IF((TENANTS!Q$4:Q$53&gt;=0)*(TENANTS!Q$4:Q$53&lt;=90),TENANTS!Q$4:Q$53),3),TENANTS!Q$4:Q$53,0)),"—")</f>
        <v/>
      </c>
      <c r="C15" s="26">
        <f>IFERROR(INDEX(TENANTS!B$4:B$53,MATCH(SMALL(IF((TENANTS!Q$4:Q$53&gt;=0)*(TENANTS!Q$4:Q$53&lt;=90),TENANTS!Q$4:Q$53),3),TENANTS!Q$4:Q$53,0)),"—")</f>
        <v/>
      </c>
      <c r="F15" s="25">
        <f>IFERROR(INDEX(TENANTS!F$4:F$53,MATCH(SMALL(IF((TENANTS!Q$4:Q$53&gt;=0)*(TENANTS!Q$4:Q$53&lt;=90),TENANTS!Q$4:Q$53),3),TENANTS!Q$4:Q$53,0)),"—")</f>
        <v/>
      </c>
      <c r="H15" s="27">
        <f>IFERROR(INDEX(TENANTS!J$4:J$53,MATCH(SMALL(IF((TENANTS!Q$4:Q$53&gt;=0)*(TENANTS!Q$4:Q$53&lt;=90),TENANTS!Q$4:Q$53),3),TENANTS!Q$4:Q$53,0)),"—")</f>
        <v/>
      </c>
      <c r="J15" s="28">
        <f>IFERROR(SMALL(IF((TENANTS!Q$4:Q$53&gt;=0)*(TENANTS!Q$4:Q$53&lt;=90),TENANTS!Q$4:Q$53),3),"—")</f>
        <v/>
      </c>
      <c r="L15" s="29">
        <f>IFERROR(INDEX(TENANTS!R$4:R$53,MATCH(SMALL(IF((TENANTS!Q$4:Q$53&gt;=0)*(TENANTS!Q$4:Q$53&lt;=90),TENANTS!Q$4:Q$53),3),TENANTS!Q$4:Q$53,0)),"—")</f>
        <v/>
      </c>
    </row>
    <row r="16" ht="18" customHeight="1">
      <c r="A16" s="30">
        <f>IFERROR(INDEX(TENANTS!A$4:A$53,MATCH(SMALL(IF((TENANTS!Q$4:Q$53&gt;=0)*(TENANTS!Q$4:Q$53&lt;=90),TENANTS!Q$4:Q$53),4),TENANTS!Q$4:Q$53,0)),"—")</f>
        <v/>
      </c>
      <c r="C16" s="31">
        <f>IFERROR(INDEX(TENANTS!B$4:B$53,MATCH(SMALL(IF((TENANTS!Q$4:Q$53&gt;=0)*(TENANTS!Q$4:Q$53&lt;=90),TENANTS!Q$4:Q$53),4),TENANTS!Q$4:Q$53,0)),"—")</f>
        <v/>
      </c>
      <c r="F16" s="30">
        <f>IFERROR(INDEX(TENANTS!F$4:F$53,MATCH(SMALL(IF((TENANTS!Q$4:Q$53&gt;=0)*(TENANTS!Q$4:Q$53&lt;=90),TENANTS!Q$4:Q$53),4),TENANTS!Q$4:Q$53,0)),"—")</f>
        <v/>
      </c>
      <c r="H16" s="32">
        <f>IFERROR(INDEX(TENANTS!J$4:J$53,MATCH(SMALL(IF((TENANTS!Q$4:Q$53&gt;=0)*(TENANTS!Q$4:Q$53&lt;=90),TENANTS!Q$4:Q$53),4),TENANTS!Q$4:Q$53,0)),"—")</f>
        <v/>
      </c>
      <c r="J16" s="33">
        <f>IFERROR(SMALL(IF((TENANTS!Q$4:Q$53&gt;=0)*(TENANTS!Q$4:Q$53&lt;=90),TENANTS!Q$4:Q$53),4),"—")</f>
        <v/>
      </c>
      <c r="L16" s="34">
        <f>IFERROR(INDEX(TENANTS!R$4:R$53,MATCH(SMALL(IF((TENANTS!Q$4:Q$53&gt;=0)*(TENANTS!Q$4:Q$53&lt;=90),TENANTS!Q$4:Q$53),4),TENANTS!Q$4:Q$53,0)),"—")</f>
        <v/>
      </c>
    </row>
    <row r="17" ht="18" customHeight="1">
      <c r="A17" s="25">
        <f>IFERROR(INDEX(TENANTS!A$4:A$53,MATCH(SMALL(IF((TENANTS!Q$4:Q$53&gt;=0)*(TENANTS!Q$4:Q$53&lt;=90),TENANTS!Q$4:Q$53),5),TENANTS!Q$4:Q$53,0)),"—")</f>
        <v/>
      </c>
      <c r="C17" s="26">
        <f>IFERROR(INDEX(TENANTS!B$4:B$53,MATCH(SMALL(IF((TENANTS!Q$4:Q$53&gt;=0)*(TENANTS!Q$4:Q$53&lt;=90),TENANTS!Q$4:Q$53),5),TENANTS!Q$4:Q$53,0)),"—")</f>
        <v/>
      </c>
      <c r="F17" s="25">
        <f>IFERROR(INDEX(TENANTS!F$4:F$53,MATCH(SMALL(IF((TENANTS!Q$4:Q$53&gt;=0)*(TENANTS!Q$4:Q$53&lt;=90),TENANTS!Q$4:Q$53),5),TENANTS!Q$4:Q$53,0)),"—")</f>
        <v/>
      </c>
      <c r="H17" s="27">
        <f>IFERROR(INDEX(TENANTS!J$4:J$53,MATCH(SMALL(IF((TENANTS!Q$4:Q$53&gt;=0)*(TENANTS!Q$4:Q$53&lt;=90),TENANTS!Q$4:Q$53),5),TENANTS!Q$4:Q$53,0)),"—")</f>
        <v/>
      </c>
      <c r="J17" s="28">
        <f>IFERROR(SMALL(IF((TENANTS!Q$4:Q$53&gt;=0)*(TENANTS!Q$4:Q$53&lt;=90),TENANTS!Q$4:Q$53),5),"—")</f>
        <v/>
      </c>
      <c r="L17" s="29">
        <f>IFERROR(INDEX(TENANTS!R$4:R$53,MATCH(SMALL(IF((TENANTS!Q$4:Q$53&gt;=0)*(TENANTS!Q$4:Q$53&lt;=90),TENANTS!Q$4:Q$53),5),TENANTS!Q$4:Q$53,0)),"—")</f>
        <v/>
      </c>
    </row>
    <row r="18" ht="18" customHeight="1">
      <c r="A18" s="30">
        <f>IFERROR(INDEX(TENANTS!A$4:A$53,MATCH(SMALL(IF((TENANTS!Q$4:Q$53&gt;=0)*(TENANTS!Q$4:Q$53&lt;=90),TENANTS!Q$4:Q$53),6),TENANTS!Q$4:Q$53,0)),"—")</f>
        <v/>
      </c>
      <c r="C18" s="31">
        <f>IFERROR(INDEX(TENANTS!B$4:B$53,MATCH(SMALL(IF((TENANTS!Q$4:Q$53&gt;=0)*(TENANTS!Q$4:Q$53&lt;=90),TENANTS!Q$4:Q$53),6),TENANTS!Q$4:Q$53,0)),"—")</f>
        <v/>
      </c>
      <c r="F18" s="30">
        <f>IFERROR(INDEX(TENANTS!F$4:F$53,MATCH(SMALL(IF((TENANTS!Q$4:Q$53&gt;=0)*(TENANTS!Q$4:Q$53&lt;=90),TENANTS!Q$4:Q$53),6),TENANTS!Q$4:Q$53,0)),"—")</f>
        <v/>
      </c>
      <c r="H18" s="32">
        <f>IFERROR(INDEX(TENANTS!J$4:J$53,MATCH(SMALL(IF((TENANTS!Q$4:Q$53&gt;=0)*(TENANTS!Q$4:Q$53&lt;=90),TENANTS!Q$4:Q$53),6),TENANTS!Q$4:Q$53,0)),"—")</f>
        <v/>
      </c>
      <c r="J18" s="33">
        <f>IFERROR(SMALL(IF((TENANTS!Q$4:Q$53&gt;=0)*(TENANTS!Q$4:Q$53&lt;=90),TENANTS!Q$4:Q$53),6),"—")</f>
        <v/>
      </c>
      <c r="L18" s="34">
        <f>IFERROR(INDEX(TENANTS!R$4:R$53,MATCH(SMALL(IF((TENANTS!Q$4:Q$53&gt;=0)*(TENANTS!Q$4:Q$53&lt;=90),TENANTS!Q$4:Q$53),6),TENANTS!Q$4:Q$53,0)),"—")</f>
        <v/>
      </c>
    </row>
    <row r="19" ht="18" customHeight="1">
      <c r="A19" s="25">
        <f>IFERROR(INDEX(TENANTS!A$4:A$53,MATCH(SMALL(IF((TENANTS!Q$4:Q$53&gt;=0)*(TENANTS!Q$4:Q$53&lt;=90),TENANTS!Q$4:Q$53),7),TENANTS!Q$4:Q$53,0)),"—")</f>
        <v/>
      </c>
      <c r="C19" s="26">
        <f>IFERROR(INDEX(TENANTS!B$4:B$53,MATCH(SMALL(IF((TENANTS!Q$4:Q$53&gt;=0)*(TENANTS!Q$4:Q$53&lt;=90),TENANTS!Q$4:Q$53),7),TENANTS!Q$4:Q$53,0)),"—")</f>
        <v/>
      </c>
      <c r="F19" s="25">
        <f>IFERROR(INDEX(TENANTS!F$4:F$53,MATCH(SMALL(IF((TENANTS!Q$4:Q$53&gt;=0)*(TENANTS!Q$4:Q$53&lt;=90),TENANTS!Q$4:Q$53),7),TENANTS!Q$4:Q$53,0)),"—")</f>
        <v/>
      </c>
      <c r="H19" s="27">
        <f>IFERROR(INDEX(TENANTS!J$4:J$53,MATCH(SMALL(IF((TENANTS!Q$4:Q$53&gt;=0)*(TENANTS!Q$4:Q$53&lt;=90),TENANTS!Q$4:Q$53),7),TENANTS!Q$4:Q$53,0)),"—")</f>
        <v/>
      </c>
      <c r="J19" s="28">
        <f>IFERROR(SMALL(IF((TENANTS!Q$4:Q$53&gt;=0)*(TENANTS!Q$4:Q$53&lt;=90),TENANTS!Q$4:Q$53),7),"—")</f>
        <v/>
      </c>
      <c r="L19" s="29">
        <f>IFERROR(INDEX(TENANTS!R$4:R$53,MATCH(SMALL(IF((TENANTS!Q$4:Q$53&gt;=0)*(TENANTS!Q$4:Q$53&lt;=90),TENANTS!Q$4:Q$53),7),TENANTS!Q$4:Q$53,0)),"—")</f>
        <v/>
      </c>
    </row>
    <row r="20" ht="18" customHeight="1">
      <c r="A20" s="30">
        <f>IFERROR(INDEX(TENANTS!A$4:A$53,MATCH(SMALL(IF((TENANTS!Q$4:Q$53&gt;=0)*(TENANTS!Q$4:Q$53&lt;=90),TENANTS!Q$4:Q$53),8),TENANTS!Q$4:Q$53,0)),"—")</f>
        <v/>
      </c>
      <c r="C20" s="31">
        <f>IFERROR(INDEX(TENANTS!B$4:B$53,MATCH(SMALL(IF((TENANTS!Q$4:Q$53&gt;=0)*(TENANTS!Q$4:Q$53&lt;=90),TENANTS!Q$4:Q$53),8),TENANTS!Q$4:Q$53,0)),"—")</f>
        <v/>
      </c>
      <c r="F20" s="30">
        <f>IFERROR(INDEX(TENANTS!F$4:F$53,MATCH(SMALL(IF((TENANTS!Q$4:Q$53&gt;=0)*(TENANTS!Q$4:Q$53&lt;=90),TENANTS!Q$4:Q$53),8),TENANTS!Q$4:Q$53,0)),"—")</f>
        <v/>
      </c>
      <c r="H20" s="32">
        <f>IFERROR(INDEX(TENANTS!J$4:J$53,MATCH(SMALL(IF((TENANTS!Q$4:Q$53&gt;=0)*(TENANTS!Q$4:Q$53&lt;=90),TENANTS!Q$4:Q$53),8),TENANTS!Q$4:Q$53,0)),"—")</f>
        <v/>
      </c>
      <c r="J20" s="33">
        <f>IFERROR(SMALL(IF((TENANTS!Q$4:Q$53&gt;=0)*(TENANTS!Q$4:Q$53&lt;=90),TENANTS!Q$4:Q$53),8),"—")</f>
        <v/>
      </c>
      <c r="L20" s="34">
        <f>IFERROR(INDEX(TENANTS!R$4:R$53,MATCH(SMALL(IF((TENANTS!Q$4:Q$53&gt;=0)*(TENANTS!Q$4:Q$53&lt;=90),TENANTS!Q$4:Q$53),8),TENANTS!Q$4:Q$53,0)),"—")</f>
        <v/>
      </c>
    </row>
    <row r="21" ht="18" customHeight="1">
      <c r="A21" s="25">
        <f>IFERROR(INDEX(TENANTS!A$4:A$53,MATCH(SMALL(IF((TENANTS!Q$4:Q$53&gt;=0)*(TENANTS!Q$4:Q$53&lt;=90),TENANTS!Q$4:Q$53),9),TENANTS!Q$4:Q$53,0)),"—")</f>
        <v/>
      </c>
      <c r="C21" s="26">
        <f>IFERROR(INDEX(TENANTS!B$4:B$53,MATCH(SMALL(IF((TENANTS!Q$4:Q$53&gt;=0)*(TENANTS!Q$4:Q$53&lt;=90),TENANTS!Q$4:Q$53),9),TENANTS!Q$4:Q$53,0)),"—")</f>
        <v/>
      </c>
      <c r="F21" s="25">
        <f>IFERROR(INDEX(TENANTS!F$4:F$53,MATCH(SMALL(IF((TENANTS!Q$4:Q$53&gt;=0)*(TENANTS!Q$4:Q$53&lt;=90),TENANTS!Q$4:Q$53),9),TENANTS!Q$4:Q$53,0)),"—")</f>
        <v/>
      </c>
      <c r="H21" s="27">
        <f>IFERROR(INDEX(TENANTS!J$4:J$53,MATCH(SMALL(IF((TENANTS!Q$4:Q$53&gt;=0)*(TENANTS!Q$4:Q$53&lt;=90),TENANTS!Q$4:Q$53),9),TENANTS!Q$4:Q$53,0)),"—")</f>
        <v/>
      </c>
      <c r="J21" s="28">
        <f>IFERROR(SMALL(IF((TENANTS!Q$4:Q$53&gt;=0)*(TENANTS!Q$4:Q$53&lt;=90),TENANTS!Q$4:Q$53),9),"—")</f>
        <v/>
      </c>
      <c r="L21" s="29">
        <f>IFERROR(INDEX(TENANTS!R$4:R$53,MATCH(SMALL(IF((TENANTS!Q$4:Q$53&gt;=0)*(TENANTS!Q$4:Q$53&lt;=90),TENANTS!Q$4:Q$53),9),TENANTS!Q$4:Q$53,0)),"—")</f>
        <v/>
      </c>
    </row>
    <row r="22" ht="18" customHeight="1">
      <c r="A22" s="30">
        <f>IFERROR(INDEX(TENANTS!A$4:A$53,MATCH(SMALL(IF((TENANTS!Q$4:Q$53&gt;=0)*(TENANTS!Q$4:Q$53&lt;=90),TENANTS!Q$4:Q$53),10),TENANTS!Q$4:Q$53,0)),"—")</f>
        <v/>
      </c>
      <c r="C22" s="31">
        <f>IFERROR(INDEX(TENANTS!B$4:B$53,MATCH(SMALL(IF((TENANTS!Q$4:Q$53&gt;=0)*(TENANTS!Q$4:Q$53&lt;=90),TENANTS!Q$4:Q$53),10),TENANTS!Q$4:Q$53,0)),"—")</f>
        <v/>
      </c>
      <c r="F22" s="30">
        <f>IFERROR(INDEX(TENANTS!F$4:F$53,MATCH(SMALL(IF((TENANTS!Q$4:Q$53&gt;=0)*(TENANTS!Q$4:Q$53&lt;=90),TENANTS!Q$4:Q$53),10),TENANTS!Q$4:Q$53,0)),"—")</f>
        <v/>
      </c>
      <c r="H22" s="32">
        <f>IFERROR(INDEX(TENANTS!J$4:J$53,MATCH(SMALL(IF((TENANTS!Q$4:Q$53&gt;=0)*(TENANTS!Q$4:Q$53&lt;=90),TENANTS!Q$4:Q$53),10),TENANTS!Q$4:Q$53,0)),"—")</f>
        <v/>
      </c>
      <c r="J22" s="33">
        <f>IFERROR(SMALL(IF((TENANTS!Q$4:Q$53&gt;=0)*(TENANTS!Q$4:Q$53&lt;=90),TENANTS!Q$4:Q$53),10),"—")</f>
        <v/>
      </c>
      <c r="L22" s="34">
        <f>IFERROR(INDEX(TENANTS!R$4:R$53,MATCH(SMALL(IF((TENANTS!Q$4:Q$53&gt;=0)*(TENANTS!Q$4:Q$53&lt;=90),TENANTS!Q$4:Q$53),10),TENANTS!Q$4:Q$53,0)),"—")</f>
        <v/>
      </c>
    </row>
    <row r="24" ht="22" customHeight="1">
      <c r="A24" s="35" t="inlineStr">
        <is>
          <t xml:space="preserve">  PORTFOLIO OVERVIEW  —  Lease status breakdown</t>
        </is>
      </c>
    </row>
    <row r="25" ht="22" customHeight="1">
      <c r="A25" s="36" t="inlineStr">
        <is>
          <t>Active</t>
        </is>
      </c>
      <c r="C25" s="37" t="inlineStr">
        <is>
          <t>Active - Review</t>
        </is>
      </c>
      <c r="E25" s="38" t="inlineStr">
        <is>
          <t>Expiring Soon</t>
        </is>
      </c>
      <c r="G25" s="39" t="inlineStr">
        <is>
          <t>Expired</t>
        </is>
      </c>
      <c r="I25" s="40" t="inlineStr">
        <is>
          <t>Terminated</t>
        </is>
      </c>
      <c r="K25" s="41" t="inlineStr">
        <is>
          <t>Vacant</t>
        </is>
      </c>
    </row>
    <row r="26" ht="22" customHeight="1">
      <c r="A26" s="42">
        <f>COUNTIF(TENANTS!R$4:R$53,"Active")</f>
        <v/>
      </c>
      <c r="C26" s="43">
        <f>COUNTIF(TENANTS!R$4:R$53,"Active - Review")</f>
        <v/>
      </c>
      <c r="E26" s="44">
        <f>COUNTIF(TENANTS!R$4:R$53,"Expiring Soon")</f>
        <v/>
      </c>
      <c r="G26" s="45">
        <f>COUNTIF(TENANTS!R$4:R$53,"Expired")</f>
        <v/>
      </c>
      <c r="I26" s="46">
        <f>COUNTIF(TENANTS!R$4:R$53,"Terminated")</f>
        <v/>
      </c>
      <c r="K26" s="47">
        <f>COUNTIF(TENANTS!R$4:R$53,"Vacant")</f>
        <v/>
      </c>
    </row>
    <row r="27" ht="22" customHeight="1"/>
    <row r="29" ht="22" customHeight="1">
      <c r="A29" s="48" t="inlineStr">
        <is>
          <t xml:space="preserve">  HOW TO USE THIS WORKBOOK</t>
        </is>
      </c>
    </row>
    <row r="30" ht="28" customHeight="1">
      <c r="A30" s="49" t="inlineStr">
        <is>
          <t>1</t>
        </is>
      </c>
      <c r="B30" s="50" t="inlineStr">
        <is>
          <t>Go to the TENANTS sheet to register each tenant. Fill in all yellow cells. Formula cells (blue text) calculate automatically.</t>
        </is>
      </c>
    </row>
    <row r="31" ht="28" customHeight="1">
      <c r="A31" s="49" t="inlineStr">
        <is>
          <t>2</t>
        </is>
      </c>
      <c r="B31" s="51" t="inlineStr">
        <is>
          <t>Go to the AGREEMENTS sheet to record each lease agreement. Add a new row for each renewal — do NOT overwrite old rows. This gives you a full history.</t>
        </is>
      </c>
    </row>
    <row r="32" ht="28" customHeight="1">
      <c r="A32" s="49" t="inlineStr">
        <is>
          <t>3</t>
        </is>
      </c>
      <c r="B32" s="50" t="inlineStr">
        <is>
          <t>The DASHBOARD updates automatically. The Expiry Watch section shows the 10 soonest-expiring leases within 90 days.</t>
        </is>
      </c>
    </row>
    <row r="33" ht="28" customHeight="1">
      <c r="A33" s="49" t="inlineStr">
        <is>
          <t>4</t>
        </is>
      </c>
      <c r="B33" s="51" t="inlineStr">
        <is>
          <t>Status is automatic: Active → Expiring Soon (≤30 days) → Expired. 'Active - Review' means the lease ends within 3 months.</t>
        </is>
      </c>
    </row>
    <row r="34" ht="28" customHeight="1">
      <c r="A34" s="49" t="inlineStr">
        <is>
          <t>5</t>
        </is>
      </c>
      <c r="B34" s="50" t="inlineStr">
        <is>
          <t>For a renewal: add a new row in AGREEMENTS with 'Renewal?' = Yes, Renewal No. = 1 (or 2 for second renewal, etc.). Update the Lease End date in TENANTS.</t>
        </is>
      </c>
    </row>
    <row r="35" ht="28" customHeight="1">
      <c r="A35" s="49" t="inlineStr">
        <is>
          <t>6</t>
        </is>
      </c>
      <c r="B35" s="51" t="inlineStr">
        <is>
          <t>Yellow cells = you fill in  ·  Blue-text cells = formula, do not edit  ·  Drop-down arrows appear when you click a cell in the relevant columns.</t>
        </is>
      </c>
    </row>
  </sheetData>
  <mergeCells count="111">
    <mergeCell ref="A26:B27"/>
    <mergeCell ref="A15:B15"/>
    <mergeCell ref="F16:G16"/>
    <mergeCell ref="J19:K19"/>
    <mergeCell ref="A11:N11"/>
    <mergeCell ref="C21:E21"/>
    <mergeCell ref="F15:G15"/>
    <mergeCell ref="I25:J25"/>
    <mergeCell ref="B31:N31"/>
    <mergeCell ref="C18:E18"/>
    <mergeCell ref="F13:G13"/>
    <mergeCell ref="A17:B17"/>
    <mergeCell ref="H13:I13"/>
    <mergeCell ref="A22:B22"/>
    <mergeCell ref="J21:K21"/>
    <mergeCell ref="A19:B19"/>
    <mergeCell ref="L13:N13"/>
    <mergeCell ref="H15:I15"/>
    <mergeCell ref="A9:B9"/>
    <mergeCell ref="C20:E20"/>
    <mergeCell ref="I6:J8"/>
    <mergeCell ref="K6:L8"/>
    <mergeCell ref="L15:N15"/>
    <mergeCell ref="L18:N18"/>
    <mergeCell ref="C6:D8"/>
    <mergeCell ref="F19:G19"/>
    <mergeCell ref="C5:D5"/>
    <mergeCell ref="C22:E22"/>
    <mergeCell ref="E5:F5"/>
    <mergeCell ref="B33:N33"/>
    <mergeCell ref="C12:E12"/>
    <mergeCell ref="A1:N1"/>
    <mergeCell ref="B35:N35"/>
    <mergeCell ref="F20:G20"/>
    <mergeCell ref="F18:G18"/>
    <mergeCell ref="F17:G17"/>
    <mergeCell ref="H17:I17"/>
    <mergeCell ref="J20:K20"/>
    <mergeCell ref="C13:E13"/>
    <mergeCell ref="H19:I19"/>
    <mergeCell ref="J22:K22"/>
    <mergeCell ref="C15:E15"/>
    <mergeCell ref="H12:I12"/>
    <mergeCell ref="J12:K12"/>
    <mergeCell ref="A4:N4"/>
    <mergeCell ref="E25:F25"/>
    <mergeCell ref="G25:H25"/>
    <mergeCell ref="I26:J27"/>
    <mergeCell ref="C26:D27"/>
    <mergeCell ref="H14:I14"/>
    <mergeCell ref="L12:N12"/>
    <mergeCell ref="G9:H9"/>
    <mergeCell ref="I9:J9"/>
    <mergeCell ref="C16:E16"/>
    <mergeCell ref="K25:L25"/>
    <mergeCell ref="L14:N14"/>
    <mergeCell ref="A24:N24"/>
    <mergeCell ref="K9:L9"/>
    <mergeCell ref="K5:L5"/>
    <mergeCell ref="M9:N9"/>
    <mergeCell ref="M5:N5"/>
    <mergeCell ref="F21:G21"/>
    <mergeCell ref="H21:I21"/>
    <mergeCell ref="B32:N32"/>
    <mergeCell ref="E6:F8"/>
    <mergeCell ref="A12:B12"/>
    <mergeCell ref="A21:B21"/>
    <mergeCell ref="H16:I16"/>
    <mergeCell ref="J16:K16"/>
    <mergeCell ref="A2:N2"/>
    <mergeCell ref="A5:B5"/>
    <mergeCell ref="A14:B14"/>
    <mergeCell ref="F22:G22"/>
    <mergeCell ref="H22:I22"/>
    <mergeCell ref="L17:N17"/>
    <mergeCell ref="K26:L27"/>
    <mergeCell ref="C14:E14"/>
    <mergeCell ref="L19:N19"/>
    <mergeCell ref="A29:N29"/>
    <mergeCell ref="F14:G14"/>
    <mergeCell ref="B34:N34"/>
    <mergeCell ref="H20:I20"/>
    <mergeCell ref="J14:K14"/>
    <mergeCell ref="B30:N30"/>
    <mergeCell ref="J13:K13"/>
    <mergeCell ref="L20:N20"/>
    <mergeCell ref="F12:G12"/>
    <mergeCell ref="A16:B16"/>
    <mergeCell ref="A25:B25"/>
    <mergeCell ref="C25:D25"/>
    <mergeCell ref="J15:K15"/>
    <mergeCell ref="L22:N22"/>
    <mergeCell ref="E26:F27"/>
    <mergeCell ref="G26:H27"/>
    <mergeCell ref="A6:B8"/>
    <mergeCell ref="C17:E17"/>
    <mergeCell ref="C9:D9"/>
    <mergeCell ref="A18:B18"/>
    <mergeCell ref="E9:F9"/>
    <mergeCell ref="M6:N8"/>
    <mergeCell ref="L21:N21"/>
    <mergeCell ref="C19:E19"/>
    <mergeCell ref="G6:H8"/>
    <mergeCell ref="G5:H5"/>
    <mergeCell ref="I5:J5"/>
    <mergeCell ref="A20:B20"/>
    <mergeCell ref="L16:N16"/>
    <mergeCell ref="H18:I18"/>
    <mergeCell ref="J18:K18"/>
    <mergeCell ref="A13:B13"/>
    <mergeCell ref="J17:K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</t>
        </is>
      </c>
      <c r="B1" t="inlineStr">
        <is>
          <t>Values</t>
        </is>
      </c>
    </row>
    <row r="2">
      <c r="A2" t="inlineStr">
        <is>
          <t>UnitTypes</t>
        </is>
      </c>
      <c r="B2" t="inlineStr">
        <is>
          <t>Apartment</t>
        </is>
      </c>
    </row>
    <row r="3">
      <c r="B3" t="inlineStr">
        <is>
          <t>Office</t>
        </is>
      </c>
    </row>
    <row r="4">
      <c r="B4" t="inlineStr">
        <is>
          <t>Shop</t>
        </is>
      </c>
    </row>
    <row r="5">
      <c r="B5" t="inlineStr">
        <is>
          <t>Warehouse</t>
        </is>
      </c>
    </row>
    <row r="6">
      <c r="B6" t="inlineStr">
        <is>
          <t>Studio</t>
        </is>
      </c>
    </row>
    <row r="7">
      <c r="B7" t="inlineStr">
        <is>
          <t>Penthouse</t>
        </is>
      </c>
    </row>
    <row r="8">
      <c r="B8" t="inlineStr">
        <is>
          <t>Other</t>
        </is>
      </c>
    </row>
    <row r="9">
      <c r="A9" t="inlineStr">
        <is>
          <t>StatusList</t>
        </is>
      </c>
      <c r="B9" t="inlineStr">
        <is>
          <t>Active</t>
        </is>
      </c>
    </row>
    <row r="10">
      <c r="B10" t="inlineStr">
        <is>
          <t>Pending</t>
        </is>
      </c>
    </row>
    <row r="11">
      <c r="B11" t="inlineStr">
        <is>
          <t>Expired</t>
        </is>
      </c>
    </row>
    <row r="12">
      <c r="B12" t="inlineStr">
        <is>
          <t>Terminated</t>
        </is>
      </c>
    </row>
    <row r="13">
      <c r="B13" t="inlineStr">
        <is>
          <t>Vacant</t>
        </is>
      </c>
    </row>
    <row r="14">
      <c r="A14" t="inlineStr">
        <is>
          <t>FreqList</t>
        </is>
      </c>
      <c r="B14" t="inlineStr">
        <is>
          <t>Monthly</t>
        </is>
      </c>
    </row>
    <row r="15">
      <c r="B15" t="inlineStr">
        <is>
          <t>Quarterly</t>
        </is>
      </c>
    </row>
    <row r="16">
      <c r="B16" t="inlineStr">
        <is>
          <t>Semi-Annual</t>
        </is>
      </c>
    </row>
    <row r="17">
      <c r="B17" t="inlineStr">
        <is>
          <t>Annual</t>
        </is>
      </c>
    </row>
    <row r="18">
      <c r="A18" t="inlineStr">
        <is>
          <t>Currency</t>
        </is>
      </c>
      <c r="B18" t="inlineStr">
        <is>
          <t>GHS</t>
        </is>
      </c>
    </row>
    <row r="19">
      <c r="B19" t="inlineStr">
        <is>
          <t>USD</t>
        </is>
      </c>
    </row>
    <row r="20">
      <c r="B20" t="inlineStr">
        <is>
          <t>GBP</t>
        </is>
      </c>
    </row>
    <row r="21">
      <c r="B21" t="inlineStr">
        <is>
          <t>EUR</t>
        </is>
      </c>
    </row>
    <row r="22">
      <c r="B22" t="inlineStr">
        <is>
          <t>NGN</t>
        </is>
      </c>
    </row>
    <row r="23">
      <c r="A23" t="inlineStr">
        <is>
          <t>PayMethod</t>
        </is>
      </c>
      <c r="B23" t="inlineStr">
        <is>
          <t>Cash</t>
        </is>
      </c>
    </row>
    <row r="24">
      <c r="B24" t="inlineStr">
        <is>
          <t>Bank Transfer</t>
        </is>
      </c>
    </row>
    <row r="25">
      <c r="B25" t="inlineStr">
        <is>
          <t>Mobile Money</t>
        </is>
      </c>
    </row>
    <row r="26">
      <c r="B26" t="inlineStr">
        <is>
          <t>Cheque</t>
        </is>
      </c>
    </row>
    <row r="27">
      <c r="B27" t="inlineStr">
        <is>
          <t>Standing Order</t>
        </is>
      </c>
    </row>
    <row r="28">
      <c r="A28" t="inlineStr">
        <is>
          <t>YesNo</t>
        </is>
      </c>
      <c r="B28" t="inlineStr">
        <is>
          <t>Yes</t>
        </is>
      </c>
    </row>
    <row r="29">
      <c r="B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" customWidth="1" min="3" max="3"/>
    <col width="22" customWidth="1" min="4" max="4"/>
    <col width="18" customWidth="1" min="5" max="5"/>
    <col width="18" customWidth="1" min="6" max="6"/>
    <col width="18" customWidth="1" min="7" max="7"/>
  </cols>
  <sheetData>
    <row r="1">
      <c r="A1" s="52" t="inlineStr">
        <is>
          <t>🏢 PROPERTY MANAGEMENT SYSTEM</t>
        </is>
      </c>
    </row>
    <row r="2">
      <c r="A2" s="53" t="inlineStr">
        <is>
          <t>TENANT REGISTRATION FORM</t>
        </is>
      </c>
    </row>
    <row r="3">
      <c r="A3" s="54" t="inlineStr">
        <is>
          <t>Complete all fields • Yellow cells are editable</t>
        </is>
      </c>
    </row>
    <row r="6">
      <c r="B6" s="55" t="inlineStr">
        <is>
          <t>Tenant ID</t>
        </is>
      </c>
      <c r="D6" s="56" t="inlineStr">
        <is>
          <t>T-001</t>
        </is>
      </c>
    </row>
    <row r="7">
      <c r="B7" s="55" t="inlineStr">
        <is>
          <t>Full Name / Company</t>
        </is>
      </c>
      <c r="D7" s="56" t="n"/>
    </row>
    <row r="8">
      <c r="B8" s="55" t="inlineStr">
        <is>
          <t>Phone</t>
        </is>
      </c>
      <c r="D8" s="56" t="n"/>
    </row>
    <row r="9">
      <c r="B9" s="55" t="inlineStr">
        <is>
          <t>Email</t>
        </is>
      </c>
      <c r="D9" s="56" t="n"/>
    </row>
    <row r="10">
      <c r="B10" s="55" t="inlineStr">
        <is>
          <t>ID / Reg No.</t>
        </is>
      </c>
      <c r="D10" s="56" t="n"/>
    </row>
    <row r="11">
      <c r="B11" s="55" t="inlineStr">
        <is>
          <t>Unit Number</t>
        </is>
      </c>
      <c r="D11" s="56" t="n"/>
    </row>
    <row r="12">
      <c r="B12" s="55" t="inlineStr">
        <is>
          <t>Unit Type</t>
        </is>
      </c>
      <c r="D12" s="56" t="n"/>
    </row>
    <row r="13">
      <c r="B13" s="55" t="inlineStr">
        <is>
          <t>Floor / Block</t>
        </is>
      </c>
      <c r="D13" s="56" t="n"/>
    </row>
    <row r="14">
      <c r="B14" s="55" t="inlineStr">
        <is>
          <t>Contract Start</t>
        </is>
      </c>
      <c r="D14" s="56" t="n"/>
    </row>
    <row r="15">
      <c r="B15" s="55" t="inlineStr">
        <is>
          <t>Contract End</t>
        </is>
      </c>
      <c r="D15" s="56" t="n"/>
    </row>
    <row r="16">
      <c r="B16" s="55" t="inlineStr">
        <is>
          <t>Monthly Rent</t>
        </is>
      </c>
      <c r="D16" s="56" t="n"/>
    </row>
    <row r="17">
      <c r="B17" s="55" t="inlineStr">
        <is>
          <t>Currency</t>
        </is>
      </c>
      <c r="D17" s="56" t="n"/>
    </row>
    <row r="18">
      <c r="B18" s="55" t="inlineStr">
        <is>
          <t>Payment Frequency</t>
        </is>
      </c>
      <c r="D18" s="56" t="n"/>
    </row>
    <row r="19">
      <c r="B19" s="55" t="inlineStr">
        <is>
          <t>Deposit Paid</t>
        </is>
      </c>
      <c r="D19" s="56" t="n"/>
    </row>
    <row r="20">
      <c r="B20" s="55" t="inlineStr">
        <is>
          <t>Payment Method</t>
        </is>
      </c>
      <c r="D20" s="56" t="n"/>
    </row>
    <row r="23">
      <c r="B23" s="57" t="inlineStr">
        <is>
          <t>Additional Notes / Special Conditions</t>
        </is>
      </c>
    </row>
    <row r="24">
      <c r="B24" s="58" t="n"/>
    </row>
    <row r="25"/>
    <row r="26"/>
    <row r="27"/>
    <row r="28"/>
    <row r="31">
      <c r="B31" t="inlineStr">
        <is>
          <t>Tenant Signature</t>
        </is>
      </c>
      <c r="E31" t="inlineStr">
        <is>
          <t>Property Manager</t>
        </is>
      </c>
    </row>
    <row r="32">
      <c r="B32" s="58" t="n"/>
      <c r="E32" s="58" t="n"/>
    </row>
    <row r="35">
      <c r="A35" s="59" t="inlineStr">
        <is>
          <t>Transfer approved tenant records into TENANTS sheet</t>
        </is>
      </c>
    </row>
  </sheetData>
  <mergeCells count="23">
    <mergeCell ref="B24:F28"/>
    <mergeCell ref="D11:F11"/>
    <mergeCell ref="D13:F13"/>
    <mergeCell ref="A35:G35"/>
    <mergeCell ref="D17:F17"/>
    <mergeCell ref="D7:F7"/>
    <mergeCell ref="D16:F16"/>
    <mergeCell ref="D12:F12"/>
    <mergeCell ref="D18:F18"/>
    <mergeCell ref="D9:F9"/>
    <mergeCell ref="B23:F23"/>
    <mergeCell ref="D8:F8"/>
    <mergeCell ref="D15:F15"/>
    <mergeCell ref="E31:F31"/>
    <mergeCell ref="D14:F14"/>
    <mergeCell ref="A1:G1"/>
    <mergeCell ref="D20:F20"/>
    <mergeCell ref="D10:F10"/>
    <mergeCell ref="D19:F19"/>
    <mergeCell ref="B31:D31"/>
    <mergeCell ref="A3:G3"/>
    <mergeCell ref="A2:G2"/>
    <mergeCell ref="D6:F6"/>
  </mergeCells>
  <dataValidations count="4">
    <dataValidation sqref="D12" showDropDown="0" showInputMessage="0" showErrorMessage="0" allowBlank="0" type="list">
      <formula1>"Office,Shop,Apartment,Warehouse,Studio"</formula1>
    </dataValidation>
    <dataValidation sqref="D17" showDropDown="0" showInputMessage="0" showErrorMessage="0" allowBlank="0" type="list">
      <formula1>"GHS,USD,EUR,GBP"</formula1>
    </dataValidation>
    <dataValidation sqref="D18" showDropDown="0" showInputMessage="0" showErrorMessage="0" allowBlank="0" type="list">
      <formula1>"Monthly,Quarterly,Semi-Annual,Annual"</formula1>
    </dataValidation>
    <dataValidation sqref="D20" showDropDown="0" showInputMessage="0" showErrorMessage="0" allowBlank="0" type="list">
      <formula1>"Cash,Bank Transfer,Mobile Money,Cheque"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24" customWidth="1" min="4" max="4"/>
    <col width="14" customWidth="1" min="5" max="5"/>
    <col width="10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13" customWidth="1" min="14" max="14"/>
    <col width="13" customWidth="1" min="15" max="15"/>
    <col width="14" customWidth="1" min="16" max="16"/>
    <col width="14" customWidth="1" min="17" max="17"/>
    <col width="12" customWidth="1" min="18" max="18"/>
  </cols>
  <sheetData>
    <row r="1" ht="32" customHeight="1">
      <c r="A1" s="60" t="inlineStr">
        <is>
          <t>🏢  TENANT REGISTER</t>
        </is>
      </c>
    </row>
    <row r="2" ht="18" customHeight="1">
      <c r="A2" s="54" t="inlineStr">
        <is>
          <t>Yellow cells = data entry  ·  Blue text = formula (do not edit)  ·  Status updates automatically</t>
        </is>
      </c>
    </row>
    <row r="3" ht="22" customHeight="1">
      <c r="A3" s="61" t="inlineStr">
        <is>
          <t>Tenant ID</t>
        </is>
      </c>
      <c r="B3" s="61" t="inlineStr">
        <is>
          <t>Full Name / Company</t>
        </is>
      </c>
      <c r="C3" s="61" t="inlineStr">
        <is>
          <t>Phone</t>
        </is>
      </c>
      <c r="D3" s="61" t="inlineStr">
        <is>
          <t>Email</t>
        </is>
      </c>
      <c r="E3" s="61" t="inlineStr">
        <is>
          <t>ID / Reg No.</t>
        </is>
      </c>
      <c r="F3" s="61" t="inlineStr">
        <is>
          <t>Unit No.</t>
        </is>
      </c>
      <c r="G3" s="61" t="inlineStr">
        <is>
          <t>Unit Type</t>
        </is>
      </c>
      <c r="H3" s="61" t="inlineStr">
        <is>
          <t>Floor / Block</t>
        </is>
      </c>
      <c r="I3" s="61" t="inlineStr">
        <is>
          <t>Contract Start</t>
        </is>
      </c>
      <c r="J3" s="61" t="inlineStr">
        <is>
          <t>Contract End</t>
        </is>
      </c>
      <c r="K3" s="61" t="inlineStr">
        <is>
          <t>Term (months)</t>
        </is>
      </c>
      <c r="L3" s="61" t="inlineStr">
        <is>
          <t>Monthly Rent</t>
        </is>
      </c>
      <c r="M3" s="61" t="inlineStr">
        <is>
          <t>Currency</t>
        </is>
      </c>
      <c r="N3" s="61" t="inlineStr">
        <is>
          <t>Payment Freq.</t>
        </is>
      </c>
      <c r="O3" s="61" t="inlineStr">
        <is>
          <t>Deposit Paid</t>
        </is>
      </c>
      <c r="P3" s="61" t="inlineStr">
        <is>
          <t>Payment Method</t>
        </is>
      </c>
      <c r="Q3" s="61" t="inlineStr">
        <is>
          <t>Days to Expiry</t>
        </is>
      </c>
      <c r="R3" s="61" t="inlineStr">
        <is>
          <t>Status</t>
        </is>
      </c>
    </row>
    <row r="4">
      <c r="A4" s="62" t="inlineStr">
        <is>
          <t>T-001</t>
        </is>
      </c>
      <c r="B4" s="62" t="inlineStr">
        <is>
          <t>Kwame Mensah Enterprises</t>
        </is>
      </c>
      <c r="C4" s="62" t="inlineStr">
        <is>
          <t>0244123456</t>
        </is>
      </c>
      <c r="D4" s="62" t="inlineStr">
        <is>
          <t>kwame@example.com</t>
        </is>
      </c>
      <c r="E4" s="62" t="inlineStr">
        <is>
          <t>GH-0012345</t>
        </is>
      </c>
      <c r="F4" s="62" t="inlineStr">
        <is>
          <t>A-101</t>
        </is>
      </c>
      <c r="G4" s="62" t="inlineStr">
        <is>
          <t>Office</t>
        </is>
      </c>
      <c r="H4" s="62" t="inlineStr">
        <is>
          <t>1st / Block A</t>
        </is>
      </c>
      <c r="I4" s="63" t="inlineStr">
        <is>
          <t>2024-01-01</t>
        </is>
      </c>
      <c r="J4" s="63" t="inlineStr">
        <is>
          <t>2024-12-31</t>
        </is>
      </c>
      <c r="K4" s="64">
        <f>IFERROR(DATEDIF(I4,J4,"M"),"")</f>
        <v/>
      </c>
      <c r="L4" s="65" t="n">
        <v>3500</v>
      </c>
      <c r="M4" s="62" t="inlineStr">
        <is>
          <t>GHS</t>
        </is>
      </c>
      <c r="N4" s="62" t="inlineStr">
        <is>
          <t>Monthly</t>
        </is>
      </c>
      <c r="O4" s="65" t="n">
        <v>7000</v>
      </c>
      <c r="P4" s="62" t="inlineStr">
        <is>
          <t>Bank Transfer</t>
        </is>
      </c>
      <c r="Q4" s="66">
        <f>IFERROR(IF(J4="","",J4-TODAY()),"")</f>
        <v/>
      </c>
      <c r="R4" s="67">
        <f>IFERROR(IF(B4="","Vacant",IF(Q4&lt;0,"Expired",IF(Q4&lt;=30,"Expiring Soon",IF(Q4&lt;=90,"Active - Review","Active")))),"Vacant")</f>
        <v/>
      </c>
    </row>
    <row r="5">
      <c r="A5" s="68" t="n"/>
      <c r="B5" s="68" t="n"/>
      <c r="C5" s="68" t="n"/>
      <c r="D5" s="68" t="n"/>
      <c r="E5" s="68" t="n"/>
      <c r="F5" s="68" t="n"/>
      <c r="G5" s="68" t="n"/>
      <c r="H5" s="68" t="n"/>
      <c r="I5" s="69" t="n"/>
      <c r="J5" s="69" t="n"/>
      <c r="K5" s="64">
        <f>IFERROR(DATEDIF(I5,J5,"M"),"")</f>
        <v/>
      </c>
      <c r="L5" s="70" t="n"/>
      <c r="M5" s="68" t="n"/>
      <c r="N5" s="68" t="n"/>
      <c r="O5" s="70" t="n"/>
      <c r="P5" s="68" t="n"/>
      <c r="Q5" s="66">
        <f>IFERROR(IF(J5="","",J5-TODAY()),"")</f>
        <v/>
      </c>
      <c r="R5" s="67">
        <f>IFERROR(IF(B5="","Vacant",IF(Q5&lt;0,"Expired",IF(Q5&lt;=30,"Expiring Soon",IF(Q5&lt;=90,"Active - Review","Active")))),"Vacant")</f>
        <v/>
      </c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2" t="n"/>
      <c r="J6" s="72" t="n"/>
      <c r="K6" s="64">
        <f>IFERROR(DATEDIF(I6,J6,"M"),"")</f>
        <v/>
      </c>
      <c r="L6" s="73" t="n"/>
      <c r="M6" s="71" t="n"/>
      <c r="N6" s="71" t="n"/>
      <c r="O6" s="73" t="n"/>
      <c r="P6" s="71" t="n"/>
      <c r="Q6" s="66">
        <f>IFERROR(IF(J6="","",J6-TODAY()),"")</f>
        <v/>
      </c>
      <c r="R6" s="67">
        <f>IFERROR(IF(B6="","Vacant",IF(Q6&lt;0,"Expired",IF(Q6&lt;=30,"Expiring Soon",IF(Q6&lt;=90,"Active - Review","Active")))),"Vacant")</f>
        <v/>
      </c>
    </row>
    <row r="7">
      <c r="A7" s="68" t="n"/>
      <c r="B7" s="68" t="n"/>
      <c r="C7" s="68" t="n"/>
      <c r="D7" s="68" t="n"/>
      <c r="E7" s="68" t="n"/>
      <c r="F7" s="68" t="n"/>
      <c r="G7" s="68" t="n"/>
      <c r="H7" s="68" t="n"/>
      <c r="I7" s="69" t="n"/>
      <c r="J7" s="69" t="n"/>
      <c r="K7" s="64">
        <f>IFERROR(DATEDIF(I7,J7,"M"),"")</f>
        <v/>
      </c>
      <c r="L7" s="70" t="n"/>
      <c r="M7" s="68" t="n"/>
      <c r="N7" s="68" t="n"/>
      <c r="O7" s="70" t="n"/>
      <c r="P7" s="68" t="n"/>
      <c r="Q7" s="66">
        <f>IFERROR(IF(J7="","",J7-TODAY()),"")</f>
        <v/>
      </c>
      <c r="R7" s="67">
        <f>IFERROR(IF(B7="","Vacant",IF(Q7&lt;0,"Expired",IF(Q7&lt;=30,"Expiring Soon",IF(Q7&lt;=90,"Active - Review","Active")))),"Vacant")</f>
        <v/>
      </c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2" t="n"/>
      <c r="J8" s="72" t="n"/>
      <c r="K8" s="64">
        <f>IFERROR(DATEDIF(I8,J8,"M"),"")</f>
        <v/>
      </c>
      <c r="L8" s="73" t="n"/>
      <c r="M8" s="71" t="n"/>
      <c r="N8" s="71" t="n"/>
      <c r="O8" s="73" t="n"/>
      <c r="P8" s="71" t="n"/>
      <c r="Q8" s="66">
        <f>IFERROR(IF(J8="","",J8-TODAY()),"")</f>
        <v/>
      </c>
      <c r="R8" s="67">
        <f>IFERROR(IF(B8="","Vacant",IF(Q8&lt;0,"Expired",IF(Q8&lt;=30,"Expiring Soon",IF(Q8&lt;=90,"Active - Review","Active")))),"Vacant")</f>
        <v/>
      </c>
    </row>
    <row r="9">
      <c r="A9" s="68" t="n"/>
      <c r="B9" s="68" t="n"/>
      <c r="C9" s="68" t="n"/>
      <c r="D9" s="68" t="n"/>
      <c r="E9" s="68" t="n"/>
      <c r="F9" s="68" t="n"/>
      <c r="G9" s="68" t="n"/>
      <c r="H9" s="68" t="n"/>
      <c r="I9" s="69" t="n"/>
      <c r="J9" s="69" t="n"/>
      <c r="K9" s="64">
        <f>IFERROR(DATEDIF(I9,J9,"M"),"")</f>
        <v/>
      </c>
      <c r="L9" s="70" t="n"/>
      <c r="M9" s="68" t="n"/>
      <c r="N9" s="68" t="n"/>
      <c r="O9" s="70" t="n"/>
      <c r="P9" s="68" t="n"/>
      <c r="Q9" s="66">
        <f>IFERROR(IF(J9="","",J9-TODAY()),"")</f>
        <v/>
      </c>
      <c r="R9" s="67">
        <f>IFERROR(IF(B9="","Vacant",IF(Q9&lt;0,"Expired",IF(Q9&lt;=30,"Expiring Soon",IF(Q9&lt;=90,"Active - Review","Active")))),"Vacant")</f>
        <v/>
      </c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2" t="n"/>
      <c r="J10" s="72" t="n"/>
      <c r="K10" s="64">
        <f>IFERROR(DATEDIF(I10,J10,"M"),"")</f>
        <v/>
      </c>
      <c r="L10" s="73" t="n"/>
      <c r="M10" s="71" t="n"/>
      <c r="N10" s="71" t="n"/>
      <c r="O10" s="73" t="n"/>
      <c r="P10" s="71" t="n"/>
      <c r="Q10" s="66">
        <f>IFERROR(IF(J10="","",J10-TODAY()),"")</f>
        <v/>
      </c>
      <c r="R10" s="67">
        <f>IFERROR(IF(B10="","Vacant",IF(Q10&lt;0,"Expired",IF(Q10&lt;=30,"Expiring Soon",IF(Q10&lt;=90,"Active - Review","Active")))),"Vacant")</f>
        <v/>
      </c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9" t="n"/>
      <c r="J11" s="69" t="n"/>
      <c r="K11" s="64">
        <f>IFERROR(DATEDIF(I11,J11,"M"),"")</f>
        <v/>
      </c>
      <c r="L11" s="70" t="n"/>
      <c r="M11" s="68" t="n"/>
      <c r="N11" s="68" t="n"/>
      <c r="O11" s="70" t="n"/>
      <c r="P11" s="68" t="n"/>
      <c r="Q11" s="66">
        <f>IFERROR(IF(J11="","",J11-TODAY()),"")</f>
        <v/>
      </c>
      <c r="R11" s="67">
        <f>IFERROR(IF(B11="","Vacant",IF(Q11&lt;0,"Expired",IF(Q11&lt;=30,"Expiring Soon",IF(Q11&lt;=90,"Active - Review","Active")))),"Vacant")</f>
        <v/>
      </c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2" t="n"/>
      <c r="J12" s="72" t="n"/>
      <c r="K12" s="64">
        <f>IFERROR(DATEDIF(I12,J12,"M"),"")</f>
        <v/>
      </c>
      <c r="L12" s="73" t="n"/>
      <c r="M12" s="71" t="n"/>
      <c r="N12" s="71" t="n"/>
      <c r="O12" s="73" t="n"/>
      <c r="P12" s="71" t="n"/>
      <c r="Q12" s="66">
        <f>IFERROR(IF(J12="","",J12-TODAY()),"")</f>
        <v/>
      </c>
      <c r="R12" s="67">
        <f>IFERROR(IF(B12="","Vacant",IF(Q12&lt;0,"Expired",IF(Q12&lt;=30,"Expiring Soon",IF(Q12&lt;=90,"Active - Review","Active")))),"Vacant")</f>
        <v/>
      </c>
    </row>
    <row r="1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9" t="n"/>
      <c r="J13" s="69" t="n"/>
      <c r="K13" s="64">
        <f>IFERROR(DATEDIF(I13,J13,"M"),"")</f>
        <v/>
      </c>
      <c r="L13" s="70" t="n"/>
      <c r="M13" s="68" t="n"/>
      <c r="N13" s="68" t="n"/>
      <c r="O13" s="70" t="n"/>
      <c r="P13" s="68" t="n"/>
      <c r="Q13" s="66">
        <f>IFERROR(IF(J13="","",J13-TODAY()),"")</f>
        <v/>
      </c>
      <c r="R13" s="67">
        <f>IFERROR(IF(B13="","Vacant",IF(Q13&lt;0,"Expired",IF(Q13&lt;=30,"Expiring Soon",IF(Q13&lt;=90,"Active - Review","Active")))),"Vacant")</f>
        <v/>
      </c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2" t="n"/>
      <c r="J14" s="72" t="n"/>
      <c r="K14" s="64">
        <f>IFERROR(DATEDIF(I14,J14,"M"),"")</f>
        <v/>
      </c>
      <c r="L14" s="73" t="n"/>
      <c r="M14" s="71" t="n"/>
      <c r="N14" s="71" t="n"/>
      <c r="O14" s="73" t="n"/>
      <c r="P14" s="71" t="n"/>
      <c r="Q14" s="66">
        <f>IFERROR(IF(J14="","",J14-TODAY()),"")</f>
        <v/>
      </c>
      <c r="R14" s="67">
        <f>IFERROR(IF(B14="","Vacant",IF(Q14&lt;0,"Expired",IF(Q14&lt;=30,"Expiring Soon",IF(Q14&lt;=90,"Active - Review","Active")))),"Vacant")</f>
        <v/>
      </c>
    </row>
    <row r="15">
      <c r="A15" s="68" t="n"/>
      <c r="B15" s="68" t="n"/>
      <c r="C15" s="68" t="n"/>
      <c r="D15" s="68" t="n"/>
      <c r="E15" s="68" t="n"/>
      <c r="F15" s="68" t="n"/>
      <c r="G15" s="68" t="n"/>
      <c r="H15" s="68" t="n"/>
      <c r="I15" s="69" t="n"/>
      <c r="J15" s="69" t="n"/>
      <c r="K15" s="64">
        <f>IFERROR(DATEDIF(I15,J15,"M"),"")</f>
        <v/>
      </c>
      <c r="L15" s="70" t="n"/>
      <c r="M15" s="68" t="n"/>
      <c r="N15" s="68" t="n"/>
      <c r="O15" s="70" t="n"/>
      <c r="P15" s="68" t="n"/>
      <c r="Q15" s="66">
        <f>IFERROR(IF(J15="","",J15-TODAY()),"")</f>
        <v/>
      </c>
      <c r="R15" s="67">
        <f>IFERROR(IF(B15="","Vacant",IF(Q15&lt;0,"Expired",IF(Q15&lt;=30,"Expiring Soon",IF(Q15&lt;=90,"Active - Review","Active")))),"Vacant")</f>
        <v/>
      </c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2" t="n"/>
      <c r="J16" s="72" t="n"/>
      <c r="K16" s="64">
        <f>IFERROR(DATEDIF(I16,J16,"M"),"")</f>
        <v/>
      </c>
      <c r="L16" s="73" t="n"/>
      <c r="M16" s="71" t="n"/>
      <c r="N16" s="71" t="n"/>
      <c r="O16" s="73" t="n"/>
      <c r="P16" s="71" t="n"/>
      <c r="Q16" s="66">
        <f>IFERROR(IF(J16="","",J16-TODAY()),"")</f>
        <v/>
      </c>
      <c r="R16" s="67">
        <f>IFERROR(IF(B16="","Vacant",IF(Q16&lt;0,"Expired",IF(Q16&lt;=30,"Expiring Soon",IF(Q16&lt;=90,"Active - Review","Active")))),"Vacant")</f>
        <v/>
      </c>
    </row>
    <row r="17">
      <c r="A17" s="68" t="n"/>
      <c r="B17" s="68" t="n"/>
      <c r="C17" s="68" t="n"/>
      <c r="D17" s="68" t="n"/>
      <c r="E17" s="68" t="n"/>
      <c r="F17" s="68" t="n"/>
      <c r="G17" s="68" t="n"/>
      <c r="H17" s="68" t="n"/>
      <c r="I17" s="69" t="n"/>
      <c r="J17" s="69" t="n"/>
      <c r="K17" s="64">
        <f>IFERROR(DATEDIF(I17,J17,"M"),"")</f>
        <v/>
      </c>
      <c r="L17" s="70" t="n"/>
      <c r="M17" s="68" t="n"/>
      <c r="N17" s="68" t="n"/>
      <c r="O17" s="70" t="n"/>
      <c r="P17" s="68" t="n"/>
      <c r="Q17" s="66">
        <f>IFERROR(IF(J17="","",J17-TODAY()),"")</f>
        <v/>
      </c>
      <c r="R17" s="67">
        <f>IFERROR(IF(B17="","Vacant",IF(Q17&lt;0,"Expired",IF(Q17&lt;=30,"Expiring Soon",IF(Q17&lt;=90,"Active - Review","Active")))),"Vacant")</f>
        <v/>
      </c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2" t="n"/>
      <c r="J18" s="72" t="n"/>
      <c r="K18" s="64">
        <f>IFERROR(DATEDIF(I18,J18,"M"),"")</f>
        <v/>
      </c>
      <c r="L18" s="73" t="n"/>
      <c r="M18" s="71" t="n"/>
      <c r="N18" s="71" t="n"/>
      <c r="O18" s="73" t="n"/>
      <c r="P18" s="71" t="n"/>
      <c r="Q18" s="66">
        <f>IFERROR(IF(J18="","",J18-TODAY()),"")</f>
        <v/>
      </c>
      <c r="R18" s="67">
        <f>IFERROR(IF(B18="","Vacant",IF(Q18&lt;0,"Expired",IF(Q18&lt;=30,"Expiring Soon",IF(Q18&lt;=90,"Active - Review","Active")))),"Vacant")</f>
        <v/>
      </c>
    </row>
    <row r="19">
      <c r="A19" s="68" t="n"/>
      <c r="B19" s="68" t="n"/>
      <c r="C19" s="68" t="n"/>
      <c r="D19" s="68" t="n"/>
      <c r="E19" s="68" t="n"/>
      <c r="F19" s="68" t="n"/>
      <c r="G19" s="68" t="n"/>
      <c r="H19" s="68" t="n"/>
      <c r="I19" s="69" t="n"/>
      <c r="J19" s="69" t="n"/>
      <c r="K19" s="64">
        <f>IFERROR(DATEDIF(I19,J19,"M"),"")</f>
        <v/>
      </c>
      <c r="L19" s="70" t="n"/>
      <c r="M19" s="68" t="n"/>
      <c r="N19" s="68" t="n"/>
      <c r="O19" s="70" t="n"/>
      <c r="P19" s="68" t="n"/>
      <c r="Q19" s="66">
        <f>IFERROR(IF(J19="","",J19-TODAY()),"")</f>
        <v/>
      </c>
      <c r="R19" s="67">
        <f>IFERROR(IF(B19="","Vacant",IF(Q19&lt;0,"Expired",IF(Q19&lt;=30,"Expiring Soon",IF(Q19&lt;=90,"Active - Review","Active")))),"Vacant")</f>
        <v/>
      </c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2" t="n"/>
      <c r="J20" s="72" t="n"/>
      <c r="K20" s="64">
        <f>IFERROR(DATEDIF(I20,J20,"M"),"")</f>
        <v/>
      </c>
      <c r="L20" s="73" t="n"/>
      <c r="M20" s="71" t="n"/>
      <c r="N20" s="71" t="n"/>
      <c r="O20" s="73" t="n"/>
      <c r="P20" s="71" t="n"/>
      <c r="Q20" s="66">
        <f>IFERROR(IF(J20="","",J20-TODAY()),"")</f>
        <v/>
      </c>
      <c r="R20" s="67">
        <f>IFERROR(IF(B20="","Vacant",IF(Q20&lt;0,"Expired",IF(Q20&lt;=30,"Expiring Soon",IF(Q20&lt;=90,"Active - Review","Active")))),"Vacant")</f>
        <v/>
      </c>
    </row>
    <row r="21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9" t="n"/>
      <c r="J21" s="69" t="n"/>
      <c r="K21" s="64">
        <f>IFERROR(DATEDIF(I21,J21,"M"),"")</f>
        <v/>
      </c>
      <c r="L21" s="70" t="n"/>
      <c r="M21" s="68" t="n"/>
      <c r="N21" s="68" t="n"/>
      <c r="O21" s="70" t="n"/>
      <c r="P21" s="68" t="n"/>
      <c r="Q21" s="66">
        <f>IFERROR(IF(J21="","",J21-TODAY()),"")</f>
        <v/>
      </c>
      <c r="R21" s="67">
        <f>IFERROR(IF(B21="","Vacant",IF(Q21&lt;0,"Expired",IF(Q21&lt;=30,"Expiring Soon",IF(Q21&lt;=90,"Active - Review","Active")))),"Vacant")</f>
        <v/>
      </c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2" t="n"/>
      <c r="J22" s="72" t="n"/>
      <c r="K22" s="64">
        <f>IFERROR(DATEDIF(I22,J22,"M"),"")</f>
        <v/>
      </c>
      <c r="L22" s="73" t="n"/>
      <c r="M22" s="71" t="n"/>
      <c r="N22" s="71" t="n"/>
      <c r="O22" s="73" t="n"/>
      <c r="P22" s="71" t="n"/>
      <c r="Q22" s="66">
        <f>IFERROR(IF(J22="","",J22-TODAY()),"")</f>
        <v/>
      </c>
      <c r="R22" s="67">
        <f>IFERROR(IF(B22="","Vacant",IF(Q22&lt;0,"Expired",IF(Q22&lt;=30,"Expiring Soon",IF(Q22&lt;=90,"Active - Review","Active")))),"Vacant")</f>
        <v/>
      </c>
    </row>
    <row r="23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9" t="n"/>
      <c r="J23" s="69" t="n"/>
      <c r="K23" s="64">
        <f>IFERROR(DATEDIF(I23,J23,"M"),"")</f>
        <v/>
      </c>
      <c r="L23" s="70" t="n"/>
      <c r="M23" s="68" t="n"/>
      <c r="N23" s="68" t="n"/>
      <c r="O23" s="70" t="n"/>
      <c r="P23" s="68" t="n"/>
      <c r="Q23" s="66">
        <f>IFERROR(IF(J23="","",J23-TODAY()),"")</f>
        <v/>
      </c>
      <c r="R23" s="67">
        <f>IFERROR(IF(B23="","Vacant",IF(Q23&lt;0,"Expired",IF(Q23&lt;=30,"Expiring Soon",IF(Q23&lt;=90,"Active - Review","Active")))),"Vacant")</f>
        <v/>
      </c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2" t="n"/>
      <c r="J24" s="72" t="n"/>
      <c r="K24" s="64">
        <f>IFERROR(DATEDIF(I24,J24,"M"),"")</f>
        <v/>
      </c>
      <c r="L24" s="73" t="n"/>
      <c r="M24" s="71" t="n"/>
      <c r="N24" s="71" t="n"/>
      <c r="O24" s="73" t="n"/>
      <c r="P24" s="71" t="n"/>
      <c r="Q24" s="66">
        <f>IFERROR(IF(J24="","",J24-TODAY()),"")</f>
        <v/>
      </c>
      <c r="R24" s="67">
        <f>IFERROR(IF(B24="","Vacant",IF(Q24&lt;0,"Expired",IF(Q24&lt;=30,"Expiring Soon",IF(Q24&lt;=90,"Active - Review","Active")))),"Vacant")</f>
        <v/>
      </c>
    </row>
    <row r="25">
      <c r="A25" s="68" t="n"/>
      <c r="B25" s="68" t="n"/>
      <c r="C25" s="68" t="n"/>
      <c r="D25" s="68" t="n"/>
      <c r="E25" s="68" t="n"/>
      <c r="F25" s="68" t="n"/>
      <c r="G25" s="68" t="n"/>
      <c r="H25" s="68" t="n"/>
      <c r="I25" s="69" t="n"/>
      <c r="J25" s="69" t="n"/>
      <c r="K25" s="64">
        <f>IFERROR(DATEDIF(I25,J25,"M"),"")</f>
        <v/>
      </c>
      <c r="L25" s="70" t="n"/>
      <c r="M25" s="68" t="n"/>
      <c r="N25" s="68" t="n"/>
      <c r="O25" s="70" t="n"/>
      <c r="P25" s="68" t="n"/>
      <c r="Q25" s="66">
        <f>IFERROR(IF(J25="","",J25-TODAY()),"")</f>
        <v/>
      </c>
      <c r="R25" s="67">
        <f>IFERROR(IF(B25="","Vacant",IF(Q25&lt;0,"Expired",IF(Q25&lt;=30,"Expiring Soon",IF(Q25&lt;=90,"Active - Review","Active")))),"Vacant")</f>
        <v/>
      </c>
    </row>
    <row r="26">
      <c r="A26" s="71" t="n"/>
      <c r="B26" s="71" t="n"/>
      <c r="C26" s="71" t="n"/>
      <c r="D26" s="71" t="n"/>
      <c r="E26" s="71" t="n"/>
      <c r="F26" s="71" t="n"/>
      <c r="G26" s="71" t="n"/>
      <c r="H26" s="71" t="n"/>
      <c r="I26" s="72" t="n"/>
      <c r="J26" s="72" t="n"/>
      <c r="K26" s="64">
        <f>IFERROR(DATEDIF(I26,J26,"M"),"")</f>
        <v/>
      </c>
      <c r="L26" s="73" t="n"/>
      <c r="M26" s="71" t="n"/>
      <c r="N26" s="71" t="n"/>
      <c r="O26" s="73" t="n"/>
      <c r="P26" s="71" t="n"/>
      <c r="Q26" s="66">
        <f>IFERROR(IF(J26="","",J26-TODAY()),"")</f>
        <v/>
      </c>
      <c r="R26" s="67">
        <f>IFERROR(IF(B26="","Vacant",IF(Q26&lt;0,"Expired",IF(Q26&lt;=30,"Expiring Soon",IF(Q26&lt;=90,"Active - Review","Active")))),"Vacant")</f>
        <v/>
      </c>
    </row>
    <row r="27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9" t="n"/>
      <c r="J27" s="69" t="n"/>
      <c r="K27" s="64">
        <f>IFERROR(DATEDIF(I27,J27,"M"),"")</f>
        <v/>
      </c>
      <c r="L27" s="70" t="n"/>
      <c r="M27" s="68" t="n"/>
      <c r="N27" s="68" t="n"/>
      <c r="O27" s="70" t="n"/>
      <c r="P27" s="68" t="n"/>
      <c r="Q27" s="66">
        <f>IFERROR(IF(J27="","",J27-TODAY()),"")</f>
        <v/>
      </c>
      <c r="R27" s="67">
        <f>IFERROR(IF(B27="","Vacant",IF(Q27&lt;0,"Expired",IF(Q27&lt;=30,"Expiring Soon",IF(Q27&lt;=90,"Active - Review","Active")))),"Vacant")</f>
        <v/>
      </c>
    </row>
    <row r="28">
      <c r="A28" s="71" t="n"/>
      <c r="B28" s="71" t="n"/>
      <c r="C28" s="71" t="n"/>
      <c r="D28" s="71" t="n"/>
      <c r="E28" s="71" t="n"/>
      <c r="F28" s="71" t="n"/>
      <c r="G28" s="71" t="n"/>
      <c r="H28" s="71" t="n"/>
      <c r="I28" s="72" t="n"/>
      <c r="J28" s="72" t="n"/>
      <c r="K28" s="64">
        <f>IFERROR(DATEDIF(I28,J28,"M"),"")</f>
        <v/>
      </c>
      <c r="L28" s="73" t="n"/>
      <c r="M28" s="71" t="n"/>
      <c r="N28" s="71" t="n"/>
      <c r="O28" s="73" t="n"/>
      <c r="P28" s="71" t="n"/>
      <c r="Q28" s="66">
        <f>IFERROR(IF(J28="","",J28-TODAY()),"")</f>
        <v/>
      </c>
      <c r="R28" s="67">
        <f>IFERROR(IF(B28="","Vacant",IF(Q28&lt;0,"Expired",IF(Q28&lt;=30,"Expiring Soon",IF(Q28&lt;=90,"Active - Review","Active")))),"Vacant")</f>
        <v/>
      </c>
    </row>
    <row r="29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9" t="n"/>
      <c r="J29" s="69" t="n"/>
      <c r="K29" s="64">
        <f>IFERROR(DATEDIF(I29,J29,"M"),"")</f>
        <v/>
      </c>
      <c r="L29" s="70" t="n"/>
      <c r="M29" s="68" t="n"/>
      <c r="N29" s="68" t="n"/>
      <c r="O29" s="70" t="n"/>
      <c r="P29" s="68" t="n"/>
      <c r="Q29" s="66">
        <f>IFERROR(IF(J29="","",J29-TODAY()),"")</f>
        <v/>
      </c>
      <c r="R29" s="67">
        <f>IFERROR(IF(B29="","Vacant",IF(Q29&lt;0,"Expired",IF(Q29&lt;=30,"Expiring Soon",IF(Q29&lt;=90,"Active - Review","Active")))),"Vacant")</f>
        <v/>
      </c>
    </row>
    <row r="30">
      <c r="A30" s="71" t="n"/>
      <c r="B30" s="71" t="n"/>
      <c r="C30" s="71" t="n"/>
      <c r="D30" s="71" t="n"/>
      <c r="E30" s="71" t="n"/>
      <c r="F30" s="71" t="n"/>
      <c r="G30" s="71" t="n"/>
      <c r="H30" s="71" t="n"/>
      <c r="I30" s="72" t="n"/>
      <c r="J30" s="72" t="n"/>
      <c r="K30" s="64">
        <f>IFERROR(DATEDIF(I30,J30,"M"),"")</f>
        <v/>
      </c>
      <c r="L30" s="73" t="n"/>
      <c r="M30" s="71" t="n"/>
      <c r="N30" s="71" t="n"/>
      <c r="O30" s="73" t="n"/>
      <c r="P30" s="71" t="n"/>
      <c r="Q30" s="66">
        <f>IFERROR(IF(J30="","",J30-TODAY()),"")</f>
        <v/>
      </c>
      <c r="R30" s="67">
        <f>IFERROR(IF(B30="","Vacant",IF(Q30&lt;0,"Expired",IF(Q30&lt;=30,"Expiring Soon",IF(Q30&lt;=90,"Active - Review","Active")))),"Vacant")</f>
        <v/>
      </c>
    </row>
    <row r="31">
      <c r="A31" s="68" t="n"/>
      <c r="B31" s="68" t="n"/>
      <c r="C31" s="68" t="n"/>
      <c r="D31" s="68" t="n"/>
      <c r="E31" s="68" t="n"/>
      <c r="F31" s="68" t="n"/>
      <c r="G31" s="68" t="n"/>
      <c r="H31" s="68" t="n"/>
      <c r="I31" s="69" t="n"/>
      <c r="J31" s="69" t="n"/>
      <c r="K31" s="64">
        <f>IFERROR(DATEDIF(I31,J31,"M"),"")</f>
        <v/>
      </c>
      <c r="L31" s="70" t="n"/>
      <c r="M31" s="68" t="n"/>
      <c r="N31" s="68" t="n"/>
      <c r="O31" s="70" t="n"/>
      <c r="P31" s="68" t="n"/>
      <c r="Q31" s="66">
        <f>IFERROR(IF(J31="","",J31-TODAY()),"")</f>
        <v/>
      </c>
      <c r="R31" s="67">
        <f>IFERROR(IF(B31="","Vacant",IF(Q31&lt;0,"Expired",IF(Q31&lt;=30,"Expiring Soon",IF(Q31&lt;=90,"Active - Review","Active")))),"Vacant")</f>
        <v/>
      </c>
    </row>
    <row r="32">
      <c r="A32" s="71" t="n"/>
      <c r="B32" s="71" t="n"/>
      <c r="C32" s="71" t="n"/>
      <c r="D32" s="71" t="n"/>
      <c r="E32" s="71" t="n"/>
      <c r="F32" s="71" t="n"/>
      <c r="G32" s="71" t="n"/>
      <c r="H32" s="71" t="n"/>
      <c r="I32" s="72" t="n"/>
      <c r="J32" s="72" t="n"/>
      <c r="K32" s="64">
        <f>IFERROR(DATEDIF(I32,J32,"M"),"")</f>
        <v/>
      </c>
      <c r="L32" s="73" t="n"/>
      <c r="M32" s="71" t="n"/>
      <c r="N32" s="71" t="n"/>
      <c r="O32" s="73" t="n"/>
      <c r="P32" s="71" t="n"/>
      <c r="Q32" s="66">
        <f>IFERROR(IF(J32="","",J32-TODAY()),"")</f>
        <v/>
      </c>
      <c r="R32" s="67">
        <f>IFERROR(IF(B32="","Vacant",IF(Q32&lt;0,"Expired",IF(Q32&lt;=30,"Expiring Soon",IF(Q32&lt;=90,"Active - Review","Active")))),"Vacant")</f>
        <v/>
      </c>
    </row>
    <row r="33">
      <c r="A33" s="68" t="n"/>
      <c r="B33" s="68" t="n"/>
      <c r="C33" s="68" t="n"/>
      <c r="D33" s="68" t="n"/>
      <c r="E33" s="68" t="n"/>
      <c r="F33" s="68" t="n"/>
      <c r="G33" s="68" t="n"/>
      <c r="H33" s="68" t="n"/>
      <c r="I33" s="69" t="n"/>
      <c r="J33" s="69" t="n"/>
      <c r="K33" s="64">
        <f>IFERROR(DATEDIF(I33,J33,"M"),"")</f>
        <v/>
      </c>
      <c r="L33" s="70" t="n"/>
      <c r="M33" s="68" t="n"/>
      <c r="N33" s="68" t="n"/>
      <c r="O33" s="70" t="n"/>
      <c r="P33" s="68" t="n"/>
      <c r="Q33" s="66">
        <f>IFERROR(IF(J33="","",J33-TODAY()),"")</f>
        <v/>
      </c>
      <c r="R33" s="67">
        <f>IFERROR(IF(B33="","Vacant",IF(Q33&lt;0,"Expired",IF(Q33&lt;=30,"Expiring Soon",IF(Q33&lt;=90,"Active - Review","Active")))),"Vacant")</f>
        <v/>
      </c>
    </row>
    <row r="34">
      <c r="A34" s="71" t="n"/>
      <c r="B34" s="71" t="n"/>
      <c r="C34" s="71" t="n"/>
      <c r="D34" s="71" t="n"/>
      <c r="E34" s="71" t="n"/>
      <c r="F34" s="71" t="n"/>
      <c r="G34" s="71" t="n"/>
      <c r="H34" s="71" t="n"/>
      <c r="I34" s="72" t="n"/>
      <c r="J34" s="72" t="n"/>
      <c r="K34" s="64">
        <f>IFERROR(DATEDIF(I34,J34,"M"),"")</f>
        <v/>
      </c>
      <c r="L34" s="73" t="n"/>
      <c r="M34" s="71" t="n"/>
      <c r="N34" s="71" t="n"/>
      <c r="O34" s="73" t="n"/>
      <c r="P34" s="71" t="n"/>
      <c r="Q34" s="66">
        <f>IFERROR(IF(J34="","",J34-TODAY()),"")</f>
        <v/>
      </c>
      <c r="R34" s="67">
        <f>IFERROR(IF(B34="","Vacant",IF(Q34&lt;0,"Expired",IF(Q34&lt;=30,"Expiring Soon",IF(Q34&lt;=90,"Active - Review","Active")))),"Vacant")</f>
        <v/>
      </c>
    </row>
    <row r="35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9" t="n"/>
      <c r="J35" s="69" t="n"/>
      <c r="K35" s="64">
        <f>IFERROR(DATEDIF(I35,J35,"M"),"")</f>
        <v/>
      </c>
      <c r="L35" s="70" t="n"/>
      <c r="M35" s="68" t="n"/>
      <c r="N35" s="68" t="n"/>
      <c r="O35" s="70" t="n"/>
      <c r="P35" s="68" t="n"/>
      <c r="Q35" s="66">
        <f>IFERROR(IF(J35="","",J35-TODAY()),"")</f>
        <v/>
      </c>
      <c r="R35" s="67">
        <f>IFERROR(IF(B35="","Vacant",IF(Q35&lt;0,"Expired",IF(Q35&lt;=30,"Expiring Soon",IF(Q35&lt;=90,"Active - Review","Active")))),"Vacant")</f>
        <v/>
      </c>
    </row>
    <row r="36">
      <c r="A36" s="71" t="n"/>
      <c r="B36" s="71" t="n"/>
      <c r="C36" s="71" t="n"/>
      <c r="D36" s="71" t="n"/>
      <c r="E36" s="71" t="n"/>
      <c r="F36" s="71" t="n"/>
      <c r="G36" s="71" t="n"/>
      <c r="H36" s="71" t="n"/>
      <c r="I36" s="72" t="n"/>
      <c r="J36" s="72" t="n"/>
      <c r="K36" s="64">
        <f>IFERROR(DATEDIF(I36,J36,"M"),"")</f>
        <v/>
      </c>
      <c r="L36" s="73" t="n"/>
      <c r="M36" s="71" t="n"/>
      <c r="N36" s="71" t="n"/>
      <c r="O36" s="73" t="n"/>
      <c r="P36" s="71" t="n"/>
      <c r="Q36" s="66">
        <f>IFERROR(IF(J36="","",J36-TODAY()),"")</f>
        <v/>
      </c>
      <c r="R36" s="67">
        <f>IFERROR(IF(B36="","Vacant",IF(Q36&lt;0,"Expired",IF(Q36&lt;=30,"Expiring Soon",IF(Q36&lt;=90,"Active - Review","Active")))),"Vacant")</f>
        <v/>
      </c>
    </row>
    <row r="37">
      <c r="A37" s="68" t="n"/>
      <c r="B37" s="68" t="n"/>
      <c r="C37" s="68" t="n"/>
      <c r="D37" s="68" t="n"/>
      <c r="E37" s="68" t="n"/>
      <c r="F37" s="68" t="n"/>
      <c r="G37" s="68" t="n"/>
      <c r="H37" s="68" t="n"/>
      <c r="I37" s="69" t="n"/>
      <c r="J37" s="69" t="n"/>
      <c r="K37" s="64">
        <f>IFERROR(DATEDIF(I37,J37,"M"),"")</f>
        <v/>
      </c>
      <c r="L37" s="70" t="n"/>
      <c r="M37" s="68" t="n"/>
      <c r="N37" s="68" t="n"/>
      <c r="O37" s="70" t="n"/>
      <c r="P37" s="68" t="n"/>
      <c r="Q37" s="66">
        <f>IFERROR(IF(J37="","",J37-TODAY()),"")</f>
        <v/>
      </c>
      <c r="R37" s="67">
        <f>IFERROR(IF(B37="","Vacant",IF(Q37&lt;0,"Expired",IF(Q37&lt;=30,"Expiring Soon",IF(Q37&lt;=90,"Active - Review","Active")))),"Vacant")</f>
        <v/>
      </c>
    </row>
    <row r="38">
      <c r="A38" s="71" t="n"/>
      <c r="B38" s="71" t="n"/>
      <c r="C38" s="71" t="n"/>
      <c r="D38" s="71" t="n"/>
      <c r="E38" s="71" t="n"/>
      <c r="F38" s="71" t="n"/>
      <c r="G38" s="71" t="n"/>
      <c r="H38" s="71" t="n"/>
      <c r="I38" s="72" t="n"/>
      <c r="J38" s="72" t="n"/>
      <c r="K38" s="64">
        <f>IFERROR(DATEDIF(I38,J38,"M"),"")</f>
        <v/>
      </c>
      <c r="L38" s="73" t="n"/>
      <c r="M38" s="71" t="n"/>
      <c r="N38" s="71" t="n"/>
      <c r="O38" s="73" t="n"/>
      <c r="P38" s="71" t="n"/>
      <c r="Q38" s="66">
        <f>IFERROR(IF(J38="","",J38-TODAY()),"")</f>
        <v/>
      </c>
      <c r="R38" s="67">
        <f>IFERROR(IF(B38="","Vacant",IF(Q38&lt;0,"Expired",IF(Q38&lt;=30,"Expiring Soon",IF(Q38&lt;=90,"Active - Review","Active")))),"Vacant")</f>
        <v/>
      </c>
    </row>
    <row r="39">
      <c r="A39" s="68" t="n"/>
      <c r="B39" s="68" t="n"/>
      <c r="C39" s="68" t="n"/>
      <c r="D39" s="68" t="n"/>
      <c r="E39" s="68" t="n"/>
      <c r="F39" s="68" t="n"/>
      <c r="G39" s="68" t="n"/>
      <c r="H39" s="68" t="n"/>
      <c r="I39" s="69" t="n"/>
      <c r="J39" s="69" t="n"/>
      <c r="K39" s="64">
        <f>IFERROR(DATEDIF(I39,J39,"M"),"")</f>
        <v/>
      </c>
      <c r="L39" s="70" t="n"/>
      <c r="M39" s="68" t="n"/>
      <c r="N39" s="68" t="n"/>
      <c r="O39" s="70" t="n"/>
      <c r="P39" s="68" t="n"/>
      <c r="Q39" s="66">
        <f>IFERROR(IF(J39="","",J39-TODAY()),"")</f>
        <v/>
      </c>
      <c r="R39" s="67">
        <f>IFERROR(IF(B39="","Vacant",IF(Q39&lt;0,"Expired",IF(Q39&lt;=30,"Expiring Soon",IF(Q39&lt;=90,"Active - Review","Active")))),"Vacant")</f>
        <v/>
      </c>
    </row>
    <row r="40">
      <c r="A40" s="71" t="n"/>
      <c r="B40" s="71" t="n"/>
      <c r="C40" s="71" t="n"/>
      <c r="D40" s="71" t="n"/>
      <c r="E40" s="71" t="n"/>
      <c r="F40" s="71" t="n"/>
      <c r="G40" s="71" t="n"/>
      <c r="H40" s="71" t="n"/>
      <c r="I40" s="72" t="n"/>
      <c r="J40" s="72" t="n"/>
      <c r="K40" s="64">
        <f>IFERROR(DATEDIF(I40,J40,"M"),"")</f>
        <v/>
      </c>
      <c r="L40" s="73" t="n"/>
      <c r="M40" s="71" t="n"/>
      <c r="N40" s="71" t="n"/>
      <c r="O40" s="73" t="n"/>
      <c r="P40" s="71" t="n"/>
      <c r="Q40" s="66">
        <f>IFERROR(IF(J40="","",J40-TODAY()),"")</f>
        <v/>
      </c>
      <c r="R40" s="67">
        <f>IFERROR(IF(B40="","Vacant",IF(Q40&lt;0,"Expired",IF(Q40&lt;=30,"Expiring Soon",IF(Q40&lt;=90,"Active - Review","Active")))),"Vacant")</f>
        <v/>
      </c>
    </row>
    <row r="41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9" t="n"/>
      <c r="J41" s="69" t="n"/>
      <c r="K41" s="64">
        <f>IFERROR(DATEDIF(I41,J41,"M"),"")</f>
        <v/>
      </c>
      <c r="L41" s="70" t="n"/>
      <c r="M41" s="68" t="n"/>
      <c r="N41" s="68" t="n"/>
      <c r="O41" s="70" t="n"/>
      <c r="P41" s="68" t="n"/>
      <c r="Q41" s="66">
        <f>IFERROR(IF(J41="","",J41-TODAY()),"")</f>
        <v/>
      </c>
      <c r="R41" s="67">
        <f>IFERROR(IF(B41="","Vacant",IF(Q41&lt;0,"Expired",IF(Q41&lt;=30,"Expiring Soon",IF(Q41&lt;=90,"Active - Review","Active")))),"Vacant")</f>
        <v/>
      </c>
    </row>
    <row r="42">
      <c r="A42" s="71" t="n"/>
      <c r="B42" s="71" t="n"/>
      <c r="C42" s="71" t="n"/>
      <c r="D42" s="71" t="n"/>
      <c r="E42" s="71" t="n"/>
      <c r="F42" s="71" t="n"/>
      <c r="G42" s="71" t="n"/>
      <c r="H42" s="71" t="n"/>
      <c r="I42" s="72" t="n"/>
      <c r="J42" s="72" t="n"/>
      <c r="K42" s="64">
        <f>IFERROR(DATEDIF(I42,J42,"M"),"")</f>
        <v/>
      </c>
      <c r="L42" s="73" t="n"/>
      <c r="M42" s="71" t="n"/>
      <c r="N42" s="71" t="n"/>
      <c r="O42" s="73" t="n"/>
      <c r="P42" s="71" t="n"/>
      <c r="Q42" s="66">
        <f>IFERROR(IF(J42="","",J42-TODAY()),"")</f>
        <v/>
      </c>
      <c r="R42" s="67">
        <f>IFERROR(IF(B42="","Vacant",IF(Q42&lt;0,"Expired",IF(Q42&lt;=30,"Expiring Soon",IF(Q42&lt;=90,"Active - Review","Active")))),"Vacant")</f>
        <v/>
      </c>
    </row>
    <row r="43">
      <c r="A43" s="68" t="n"/>
      <c r="B43" s="68" t="n"/>
      <c r="C43" s="68" t="n"/>
      <c r="D43" s="68" t="n"/>
      <c r="E43" s="68" t="n"/>
      <c r="F43" s="68" t="n"/>
      <c r="G43" s="68" t="n"/>
      <c r="H43" s="68" t="n"/>
      <c r="I43" s="69" t="n"/>
      <c r="J43" s="69" t="n"/>
      <c r="K43" s="64">
        <f>IFERROR(DATEDIF(I43,J43,"M"),"")</f>
        <v/>
      </c>
      <c r="L43" s="70" t="n"/>
      <c r="M43" s="68" t="n"/>
      <c r="N43" s="68" t="n"/>
      <c r="O43" s="70" t="n"/>
      <c r="P43" s="68" t="n"/>
      <c r="Q43" s="66">
        <f>IFERROR(IF(J43="","",J43-TODAY()),"")</f>
        <v/>
      </c>
      <c r="R43" s="67">
        <f>IFERROR(IF(B43="","Vacant",IF(Q43&lt;0,"Expired",IF(Q43&lt;=30,"Expiring Soon",IF(Q43&lt;=90,"Active - Review","Active")))),"Vacant")</f>
        <v/>
      </c>
    </row>
    <row r="44">
      <c r="A44" s="71" t="n"/>
      <c r="B44" s="71" t="n"/>
      <c r="C44" s="71" t="n"/>
      <c r="D44" s="71" t="n"/>
      <c r="E44" s="71" t="n"/>
      <c r="F44" s="71" t="n"/>
      <c r="G44" s="71" t="n"/>
      <c r="H44" s="71" t="n"/>
      <c r="I44" s="72" t="n"/>
      <c r="J44" s="72" t="n"/>
      <c r="K44" s="64">
        <f>IFERROR(DATEDIF(I44,J44,"M"),"")</f>
        <v/>
      </c>
      <c r="L44" s="73" t="n"/>
      <c r="M44" s="71" t="n"/>
      <c r="N44" s="71" t="n"/>
      <c r="O44" s="73" t="n"/>
      <c r="P44" s="71" t="n"/>
      <c r="Q44" s="66">
        <f>IFERROR(IF(J44="","",J44-TODAY()),"")</f>
        <v/>
      </c>
      <c r="R44" s="67">
        <f>IFERROR(IF(B44="","Vacant",IF(Q44&lt;0,"Expired",IF(Q44&lt;=30,"Expiring Soon",IF(Q44&lt;=90,"Active - Review","Active")))),"Vacant")</f>
        <v/>
      </c>
    </row>
    <row r="45">
      <c r="A45" s="68" t="n"/>
      <c r="B45" s="68" t="n"/>
      <c r="C45" s="68" t="n"/>
      <c r="D45" s="68" t="n"/>
      <c r="E45" s="68" t="n"/>
      <c r="F45" s="68" t="n"/>
      <c r="G45" s="68" t="n"/>
      <c r="H45" s="68" t="n"/>
      <c r="I45" s="69" t="n"/>
      <c r="J45" s="69" t="n"/>
      <c r="K45" s="64">
        <f>IFERROR(DATEDIF(I45,J45,"M"),"")</f>
        <v/>
      </c>
      <c r="L45" s="70" t="n"/>
      <c r="M45" s="68" t="n"/>
      <c r="N45" s="68" t="n"/>
      <c r="O45" s="70" t="n"/>
      <c r="P45" s="68" t="n"/>
      <c r="Q45" s="66">
        <f>IFERROR(IF(J45="","",J45-TODAY()),"")</f>
        <v/>
      </c>
      <c r="R45" s="67">
        <f>IFERROR(IF(B45="","Vacant",IF(Q45&lt;0,"Expired",IF(Q45&lt;=30,"Expiring Soon",IF(Q45&lt;=90,"Active - Review","Active")))),"Vacant")</f>
        <v/>
      </c>
    </row>
    <row r="46">
      <c r="A46" s="71" t="n"/>
      <c r="B46" s="71" t="n"/>
      <c r="C46" s="71" t="n"/>
      <c r="D46" s="71" t="n"/>
      <c r="E46" s="71" t="n"/>
      <c r="F46" s="71" t="n"/>
      <c r="G46" s="71" t="n"/>
      <c r="H46" s="71" t="n"/>
      <c r="I46" s="72" t="n"/>
      <c r="J46" s="72" t="n"/>
      <c r="K46" s="64">
        <f>IFERROR(DATEDIF(I46,J46,"M"),"")</f>
        <v/>
      </c>
      <c r="L46" s="73" t="n"/>
      <c r="M46" s="71" t="n"/>
      <c r="N46" s="71" t="n"/>
      <c r="O46" s="73" t="n"/>
      <c r="P46" s="71" t="n"/>
      <c r="Q46" s="66">
        <f>IFERROR(IF(J46="","",J46-TODAY()),"")</f>
        <v/>
      </c>
      <c r="R46" s="67">
        <f>IFERROR(IF(B46="","Vacant",IF(Q46&lt;0,"Expired",IF(Q46&lt;=30,"Expiring Soon",IF(Q46&lt;=90,"Active - Review","Active")))),"Vacant")</f>
        <v/>
      </c>
    </row>
    <row r="47">
      <c r="A47" s="68" t="n"/>
      <c r="B47" s="68" t="n"/>
      <c r="C47" s="68" t="n"/>
      <c r="D47" s="68" t="n"/>
      <c r="E47" s="68" t="n"/>
      <c r="F47" s="68" t="n"/>
      <c r="G47" s="68" t="n"/>
      <c r="H47" s="68" t="n"/>
      <c r="I47" s="69" t="n"/>
      <c r="J47" s="69" t="n"/>
      <c r="K47" s="64">
        <f>IFERROR(DATEDIF(I47,J47,"M"),"")</f>
        <v/>
      </c>
      <c r="L47" s="70" t="n"/>
      <c r="M47" s="68" t="n"/>
      <c r="N47" s="68" t="n"/>
      <c r="O47" s="70" t="n"/>
      <c r="P47" s="68" t="n"/>
      <c r="Q47" s="66">
        <f>IFERROR(IF(J47="","",J47-TODAY()),"")</f>
        <v/>
      </c>
      <c r="R47" s="67">
        <f>IFERROR(IF(B47="","Vacant",IF(Q47&lt;0,"Expired",IF(Q47&lt;=30,"Expiring Soon",IF(Q47&lt;=90,"Active - Review","Active")))),"Vacant")</f>
        <v/>
      </c>
    </row>
    <row r="48">
      <c r="A48" s="71" t="n"/>
      <c r="B48" s="71" t="n"/>
      <c r="C48" s="71" t="n"/>
      <c r="D48" s="71" t="n"/>
      <c r="E48" s="71" t="n"/>
      <c r="F48" s="71" t="n"/>
      <c r="G48" s="71" t="n"/>
      <c r="H48" s="71" t="n"/>
      <c r="I48" s="72" t="n"/>
      <c r="J48" s="72" t="n"/>
      <c r="K48" s="64">
        <f>IFERROR(DATEDIF(I48,J48,"M"),"")</f>
        <v/>
      </c>
      <c r="L48" s="73" t="n"/>
      <c r="M48" s="71" t="n"/>
      <c r="N48" s="71" t="n"/>
      <c r="O48" s="73" t="n"/>
      <c r="P48" s="71" t="n"/>
      <c r="Q48" s="66">
        <f>IFERROR(IF(J48="","",J48-TODAY()),"")</f>
        <v/>
      </c>
      <c r="R48" s="67">
        <f>IFERROR(IF(B48="","Vacant",IF(Q48&lt;0,"Expired",IF(Q48&lt;=30,"Expiring Soon",IF(Q48&lt;=90,"Active - Review","Active")))),"Vacant")</f>
        <v/>
      </c>
    </row>
    <row r="49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9" t="n"/>
      <c r="J49" s="69" t="n"/>
      <c r="K49" s="64">
        <f>IFERROR(DATEDIF(I49,J49,"M"),"")</f>
        <v/>
      </c>
      <c r="L49" s="70" t="n"/>
      <c r="M49" s="68" t="n"/>
      <c r="N49" s="68" t="n"/>
      <c r="O49" s="70" t="n"/>
      <c r="P49" s="68" t="n"/>
      <c r="Q49" s="66">
        <f>IFERROR(IF(J49="","",J49-TODAY()),"")</f>
        <v/>
      </c>
      <c r="R49" s="67">
        <f>IFERROR(IF(B49="","Vacant",IF(Q49&lt;0,"Expired",IF(Q49&lt;=30,"Expiring Soon",IF(Q49&lt;=90,"Active - Review","Active")))),"Vacant")</f>
        <v/>
      </c>
    </row>
    <row r="50">
      <c r="A50" s="71" t="n"/>
      <c r="B50" s="71" t="n"/>
      <c r="C50" s="71" t="n"/>
      <c r="D50" s="71" t="n"/>
      <c r="E50" s="71" t="n"/>
      <c r="F50" s="71" t="n"/>
      <c r="G50" s="71" t="n"/>
      <c r="H50" s="71" t="n"/>
      <c r="I50" s="72" t="n"/>
      <c r="J50" s="72" t="n"/>
      <c r="K50" s="64">
        <f>IFERROR(DATEDIF(I50,J50,"M"),"")</f>
        <v/>
      </c>
      <c r="L50" s="73" t="n"/>
      <c r="M50" s="71" t="n"/>
      <c r="N50" s="71" t="n"/>
      <c r="O50" s="73" t="n"/>
      <c r="P50" s="71" t="n"/>
      <c r="Q50" s="66">
        <f>IFERROR(IF(J50="","",J50-TODAY()),"")</f>
        <v/>
      </c>
      <c r="R50" s="67">
        <f>IFERROR(IF(B50="","Vacant",IF(Q50&lt;0,"Expired",IF(Q50&lt;=30,"Expiring Soon",IF(Q50&lt;=90,"Active - Review","Active")))),"Vacant")</f>
        <v/>
      </c>
    </row>
    <row r="51">
      <c r="A51" s="68" t="n"/>
      <c r="B51" s="68" t="n"/>
      <c r="C51" s="68" t="n"/>
      <c r="D51" s="68" t="n"/>
      <c r="E51" s="68" t="n"/>
      <c r="F51" s="68" t="n"/>
      <c r="G51" s="68" t="n"/>
      <c r="H51" s="68" t="n"/>
      <c r="I51" s="69" t="n"/>
      <c r="J51" s="69" t="n"/>
      <c r="K51" s="64">
        <f>IFERROR(DATEDIF(I51,J51,"M"),"")</f>
        <v/>
      </c>
      <c r="L51" s="70" t="n"/>
      <c r="M51" s="68" t="n"/>
      <c r="N51" s="68" t="n"/>
      <c r="O51" s="70" t="n"/>
      <c r="P51" s="68" t="n"/>
      <c r="Q51" s="66">
        <f>IFERROR(IF(J51="","",J51-TODAY()),"")</f>
        <v/>
      </c>
      <c r="R51" s="67">
        <f>IFERROR(IF(B51="","Vacant",IF(Q51&lt;0,"Expired",IF(Q51&lt;=30,"Expiring Soon",IF(Q51&lt;=90,"Active - Review","Active")))),"Vacant")</f>
        <v/>
      </c>
    </row>
    <row r="52">
      <c r="A52" s="71" t="n"/>
      <c r="B52" s="71" t="n"/>
      <c r="C52" s="71" t="n"/>
      <c r="D52" s="71" t="n"/>
      <c r="E52" s="71" t="n"/>
      <c r="F52" s="71" t="n"/>
      <c r="G52" s="71" t="n"/>
      <c r="H52" s="71" t="n"/>
      <c r="I52" s="72" t="n"/>
      <c r="J52" s="72" t="n"/>
      <c r="K52" s="64">
        <f>IFERROR(DATEDIF(I52,J52,"M"),"")</f>
        <v/>
      </c>
      <c r="L52" s="73" t="n"/>
      <c r="M52" s="71" t="n"/>
      <c r="N52" s="71" t="n"/>
      <c r="O52" s="73" t="n"/>
      <c r="P52" s="71" t="n"/>
      <c r="Q52" s="66">
        <f>IFERROR(IF(J52="","",J52-TODAY()),"")</f>
        <v/>
      </c>
      <c r="R52" s="67">
        <f>IFERROR(IF(B52="","Vacant",IF(Q52&lt;0,"Expired",IF(Q52&lt;=30,"Expiring Soon",IF(Q52&lt;=90,"Active - Review","Active")))),"Vacant")</f>
        <v/>
      </c>
    </row>
    <row r="53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9" t="n"/>
      <c r="J53" s="69" t="n"/>
      <c r="K53" s="64">
        <f>IFERROR(DATEDIF(I53,J53,"M"),"")</f>
        <v/>
      </c>
      <c r="L53" s="70" t="n"/>
      <c r="M53" s="68" t="n"/>
      <c r="N53" s="68" t="n"/>
      <c r="O53" s="70" t="n"/>
      <c r="P53" s="68" t="n"/>
      <c r="Q53" s="66">
        <f>IFERROR(IF(J53="","",J53-TODAY()),"")</f>
        <v/>
      </c>
      <c r="R53" s="67">
        <f>IFERROR(IF(B53="","Vacant",IF(Q53&lt;0,"Expired",IF(Q53&lt;=30,"Expiring Soon",IF(Q53&lt;=90,"Active - Review","Active")))),"Vacant")</f>
        <v/>
      </c>
    </row>
  </sheetData>
  <mergeCells count="2">
    <mergeCell ref="A2:R2"/>
    <mergeCell ref="A1:R1"/>
  </mergeCells>
  <conditionalFormatting sqref="R4:R53">
    <cfRule type="expression" priority="1" dxfId="0">
      <formula>=OR(R4="Expired",R4="Terminated")</formula>
    </cfRule>
    <cfRule type="expression" priority="2" dxfId="1">
      <formula>=R4="Expiring Soon"</formula>
    </cfRule>
    <cfRule type="expression" priority="3" dxfId="2">
      <formula>=OR(R4="Active",R4="Active - Review")</formula>
    </cfRule>
  </conditionalFormatting>
  <conditionalFormatting sqref="Q4:Q53">
    <cfRule type="colorScale" priority="4">
      <colorScale>
        <cfvo type="num" val="0"/>
        <cfvo type="num" val="90"/>
        <cfvo type="num" val="365"/>
        <color rgb="00E74C3C"/>
        <color rgb="00F39C12"/>
        <color rgb="0027AE60"/>
      </colorScale>
    </cfRule>
  </conditionalFormatting>
  <dataValidations count="4">
    <dataValidation sqref="G4:G53" showDropDown="0" showInputMessage="0" showErrorMessage="0" allowBlank="1" type="list">
      <formula1>LOOKUP!$B$2:$B$8</formula1>
    </dataValidation>
    <dataValidation sqref="M4:M53" showDropDown="0" showInputMessage="0" showErrorMessage="0" allowBlank="1" type="list">
      <formula1>LOOKUP!$B$14:$B$22</formula1>
    </dataValidation>
    <dataValidation sqref="N4:N53" showDropDown="0" showInputMessage="0" showErrorMessage="0" allowBlank="1" type="list">
      <formula1>LOOKUP!$B$14:$B$17</formula1>
    </dataValidation>
    <dataValidation sqref="P4:P53" showDropDown="0" showInputMessage="0" showErrorMessage="0" allowBlank="1" type="list">
      <formula1>LOOKUP!$B$23:$B$27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5" customWidth="1" min="5" max="5"/>
  </cols>
  <sheetData>
    <row r="1">
      <c r="A1" t="inlineStr">
        <is>
          <t>Room No</t>
        </is>
      </c>
      <c r="B1" t="inlineStr">
        <is>
          <t>Tenant ID</t>
        </is>
      </c>
      <c r="C1" t="inlineStr">
        <is>
          <t>Tenant Name</t>
        </is>
      </c>
      <c r="D1" t="inlineStr">
        <is>
          <t>Monthly Rent</t>
        </is>
      </c>
      <c r="E1" t="inlineStr">
        <is>
          <t>Status</t>
        </is>
      </c>
    </row>
    <row r="2">
      <c r="A2" t="inlineStr">
        <is>
          <t>RM-01</t>
        </is>
      </c>
    </row>
    <row r="3">
      <c r="A3" t="inlineStr">
        <is>
          <t>RM-02</t>
        </is>
      </c>
    </row>
    <row r="4">
      <c r="A4" t="inlineStr">
        <is>
          <t>RM-03</t>
        </is>
      </c>
    </row>
    <row r="5">
      <c r="A5" t="inlineStr">
        <is>
          <t>RM-04</t>
        </is>
      </c>
    </row>
    <row r="6">
      <c r="A6" t="inlineStr">
        <is>
          <t>RM-05</t>
        </is>
      </c>
    </row>
    <row r="7">
      <c r="A7" t="inlineStr">
        <is>
          <t>RM-06</t>
        </is>
      </c>
    </row>
    <row r="8">
      <c r="A8" t="inlineStr">
        <is>
          <t>RM-07</t>
        </is>
      </c>
    </row>
    <row r="9">
      <c r="A9" t="inlineStr">
        <is>
          <t>RM-08</t>
        </is>
      </c>
    </row>
    <row r="10">
      <c r="A10" t="inlineStr">
        <is>
          <t>RM-09</t>
        </is>
      </c>
    </row>
    <row r="11">
      <c r="A11" t="inlineStr">
        <is>
          <t>RM-10</t>
        </is>
      </c>
    </row>
    <row r="12">
      <c r="A12" t="inlineStr">
        <is>
          <t>RM-11</t>
        </is>
      </c>
    </row>
    <row r="13">
      <c r="A13" t="inlineStr">
        <is>
          <t>RM-12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2" customWidth="1" min="3" max="3"/>
    <col width="10" customWidth="1" min="4" max="4"/>
    <col width="13" customWidth="1" min="5" max="5"/>
    <col width="13" customWidth="1" min="6" max="6"/>
    <col width="13" customWidth="1" min="7" max="7"/>
    <col width="10" customWidth="1" min="8" max="8"/>
    <col width="11" customWidth="1" min="9" max="9"/>
    <col width="13" customWidth="1" min="10" max="10"/>
    <col width="14" customWidth="1" min="11" max="11"/>
    <col width="13" customWidth="1" min="12" max="12"/>
    <col width="10" customWidth="1" min="13" max="13"/>
    <col width="13" customWidth="1" min="14" max="14"/>
    <col width="15" customWidth="1" min="15" max="15"/>
    <col width="28" customWidth="1" min="16" max="16"/>
  </cols>
  <sheetData>
    <row r="1" ht="32" customHeight="1">
      <c r="A1" s="74" t="inlineStr">
        <is>
          <t>📋  LEASE AGREEMENTS &amp; RENEWALS</t>
        </is>
      </c>
    </row>
    <row r="2" ht="18" customHeight="1">
      <c r="A2" s="54" t="inlineStr">
        <is>
          <t>Each row = one agreement period. A renewed lease gets a new row. Link Tenant ID to the TENANTS sheet.</t>
        </is>
      </c>
    </row>
    <row r="3" ht="22" customHeight="1">
      <c r="A3" s="75" t="inlineStr">
        <is>
          <t>Agr. ID</t>
        </is>
      </c>
      <c r="B3" s="75" t="inlineStr">
        <is>
          <t>Tenant ID</t>
        </is>
      </c>
      <c r="C3" s="75" t="inlineStr">
        <is>
          <t>Tenant Name</t>
        </is>
      </c>
      <c r="D3" s="75" t="inlineStr">
        <is>
          <t>Unit No.</t>
        </is>
      </c>
      <c r="E3" s="75" t="inlineStr">
        <is>
          <t>Original Start</t>
        </is>
      </c>
      <c r="F3" s="75" t="inlineStr">
        <is>
          <t>Lease Start</t>
        </is>
      </c>
      <c r="G3" s="75" t="inlineStr">
        <is>
          <t>Lease End</t>
        </is>
      </c>
      <c r="H3" s="75" t="inlineStr">
        <is>
          <t>Renewal?</t>
        </is>
      </c>
      <c r="I3" s="75" t="inlineStr">
        <is>
          <t>Renewal No.</t>
        </is>
      </c>
      <c r="J3" s="75" t="inlineStr">
        <is>
          <t>Term (months)</t>
        </is>
      </c>
      <c r="K3" s="75" t="inlineStr">
        <is>
          <t>Annual Rent</t>
        </is>
      </c>
      <c r="L3" s="75" t="inlineStr">
        <is>
          <t>Monthly Rent</t>
        </is>
      </c>
      <c r="M3" s="75" t="inlineStr">
        <is>
          <t>Currency</t>
        </is>
      </c>
      <c r="N3" s="75" t="inlineStr">
        <is>
          <t>Rent Increment%</t>
        </is>
      </c>
      <c r="O3" s="75" t="inlineStr">
        <is>
          <t>Next Review Date</t>
        </is>
      </c>
      <c r="P3" s="75" t="inlineStr">
        <is>
          <t>Notes</t>
        </is>
      </c>
    </row>
    <row r="4">
      <c r="A4" s="62" t="inlineStr">
        <is>
          <t>AGR-001</t>
        </is>
      </c>
      <c r="B4" s="62" t="inlineStr">
        <is>
          <t>T-001</t>
        </is>
      </c>
      <c r="C4" s="62" t="inlineStr">
        <is>
          <t>Kwame Mensah Enterprises</t>
        </is>
      </c>
      <c r="D4" s="62" t="inlineStr">
        <is>
          <t>A-101</t>
        </is>
      </c>
      <c r="E4" s="63" t="n">
        <v>45292</v>
      </c>
      <c r="F4" s="63" t="n">
        <v>45292</v>
      </c>
      <c r="G4" s="63" t="n">
        <v>45657</v>
      </c>
      <c r="H4" s="62" t="inlineStr">
        <is>
          <t>No</t>
        </is>
      </c>
      <c r="I4" s="62" t="n">
        <v>0</v>
      </c>
      <c r="J4" s="64">
        <f>IFERROR(DATEDIF(F4,G4,"M"),"")</f>
        <v/>
      </c>
      <c r="K4" s="65" t="n">
        <v>42000</v>
      </c>
      <c r="L4" s="76">
        <f>IFERROR(IF(K4="","",K4/12),"")</f>
        <v/>
      </c>
      <c r="M4" s="62" t="inlineStr">
        <is>
          <t>GHS</t>
        </is>
      </c>
      <c r="N4" s="77" t="n">
        <v>0.05</v>
      </c>
      <c r="O4" s="78">
        <f>IFERROR(IF(G4="","",G4-365),"")</f>
        <v/>
      </c>
      <c r="P4" s="62" t="n"/>
    </row>
    <row r="5">
      <c r="A5" s="68" t="n"/>
      <c r="B5" s="68" t="n"/>
      <c r="C5" s="68" t="n"/>
      <c r="D5" s="68" t="n"/>
      <c r="E5" s="69" t="n"/>
      <c r="F5" s="69" t="n"/>
      <c r="G5" s="69" t="n"/>
      <c r="H5" s="68" t="n"/>
      <c r="I5" s="68" t="n"/>
      <c r="J5" s="64">
        <f>IFERROR(DATEDIF(F5,G5,"M"),"")</f>
        <v/>
      </c>
      <c r="K5" s="70" t="n"/>
      <c r="L5" s="76">
        <f>IFERROR(IF(K5="","",K5/12),"")</f>
        <v/>
      </c>
      <c r="M5" s="68" t="n"/>
      <c r="N5" s="79" t="n"/>
      <c r="O5" s="78">
        <f>IFERROR(IF(G5="","",G5-365),"")</f>
        <v/>
      </c>
      <c r="P5" s="68" t="n"/>
    </row>
    <row r="6">
      <c r="A6" s="71" t="n"/>
      <c r="B6" s="71" t="n"/>
      <c r="C6" s="71" t="n"/>
      <c r="D6" s="71" t="n"/>
      <c r="E6" s="72" t="n"/>
      <c r="F6" s="72" t="n"/>
      <c r="G6" s="72" t="n"/>
      <c r="H6" s="71" t="n"/>
      <c r="I6" s="71" t="n"/>
      <c r="J6" s="64">
        <f>IFERROR(DATEDIF(F6,G6,"M"),"")</f>
        <v/>
      </c>
      <c r="K6" s="73" t="n"/>
      <c r="L6" s="76">
        <f>IFERROR(IF(K6="","",K6/12),"")</f>
        <v/>
      </c>
      <c r="M6" s="71" t="n"/>
      <c r="N6" s="80" t="n"/>
      <c r="O6" s="78">
        <f>IFERROR(IF(G6="","",G6-365),"")</f>
        <v/>
      </c>
      <c r="P6" s="71" t="n"/>
    </row>
    <row r="7">
      <c r="A7" s="68" t="n"/>
      <c r="B7" s="68" t="n"/>
      <c r="C7" s="68" t="n"/>
      <c r="D7" s="68" t="n"/>
      <c r="E7" s="69" t="n"/>
      <c r="F7" s="69" t="n"/>
      <c r="G7" s="69" t="n"/>
      <c r="H7" s="68" t="n"/>
      <c r="I7" s="68" t="n"/>
      <c r="J7" s="64">
        <f>IFERROR(DATEDIF(F7,G7,"M"),"")</f>
        <v/>
      </c>
      <c r="K7" s="70" t="n"/>
      <c r="L7" s="76">
        <f>IFERROR(IF(K7="","",K7/12),"")</f>
        <v/>
      </c>
      <c r="M7" s="68" t="n"/>
      <c r="N7" s="79" t="n"/>
      <c r="O7" s="78">
        <f>IFERROR(IF(G7="","",G7-365),"")</f>
        <v/>
      </c>
      <c r="P7" s="68" t="n"/>
    </row>
    <row r="8">
      <c r="A8" s="71" t="n"/>
      <c r="B8" s="71" t="n"/>
      <c r="C8" s="71" t="n"/>
      <c r="D8" s="71" t="n"/>
      <c r="E8" s="72" t="n"/>
      <c r="F8" s="72" t="n"/>
      <c r="G8" s="72" t="n"/>
      <c r="H8" s="71" t="n"/>
      <c r="I8" s="71" t="n"/>
      <c r="J8" s="64">
        <f>IFERROR(DATEDIF(F8,G8,"M"),"")</f>
        <v/>
      </c>
      <c r="K8" s="73" t="n"/>
      <c r="L8" s="76">
        <f>IFERROR(IF(K8="","",K8/12),"")</f>
        <v/>
      </c>
      <c r="M8" s="71" t="n"/>
      <c r="N8" s="80" t="n"/>
      <c r="O8" s="78">
        <f>IFERROR(IF(G8="","",G8-365),"")</f>
        <v/>
      </c>
      <c r="P8" s="71" t="n"/>
    </row>
    <row r="9">
      <c r="A9" s="68" t="n"/>
      <c r="B9" s="68" t="n"/>
      <c r="C9" s="68" t="n"/>
      <c r="D9" s="68" t="n"/>
      <c r="E9" s="69" t="n"/>
      <c r="F9" s="69" t="n"/>
      <c r="G9" s="69" t="n"/>
      <c r="H9" s="68" t="n"/>
      <c r="I9" s="68" t="n"/>
      <c r="J9" s="64">
        <f>IFERROR(DATEDIF(F9,G9,"M"),"")</f>
        <v/>
      </c>
      <c r="K9" s="70" t="n"/>
      <c r="L9" s="76">
        <f>IFERROR(IF(K9="","",K9/12),"")</f>
        <v/>
      </c>
      <c r="M9" s="68" t="n"/>
      <c r="N9" s="79" t="n"/>
      <c r="O9" s="78">
        <f>IFERROR(IF(G9="","",G9-365),"")</f>
        <v/>
      </c>
      <c r="P9" s="68" t="n"/>
    </row>
    <row r="10">
      <c r="A10" s="71" t="n"/>
      <c r="B10" s="71" t="n"/>
      <c r="C10" s="71" t="n"/>
      <c r="D10" s="71" t="n"/>
      <c r="E10" s="72" t="n"/>
      <c r="F10" s="72" t="n"/>
      <c r="G10" s="72" t="n"/>
      <c r="H10" s="71" t="n"/>
      <c r="I10" s="71" t="n"/>
      <c r="J10" s="64">
        <f>IFERROR(DATEDIF(F10,G10,"M"),"")</f>
        <v/>
      </c>
      <c r="K10" s="73" t="n"/>
      <c r="L10" s="76">
        <f>IFERROR(IF(K10="","",K10/12),"")</f>
        <v/>
      </c>
      <c r="M10" s="71" t="n"/>
      <c r="N10" s="80" t="n"/>
      <c r="O10" s="78">
        <f>IFERROR(IF(G10="","",G10-365),"")</f>
        <v/>
      </c>
      <c r="P10" s="71" t="n"/>
    </row>
    <row r="11">
      <c r="A11" s="68" t="n"/>
      <c r="B11" s="68" t="n"/>
      <c r="C11" s="68" t="n"/>
      <c r="D11" s="68" t="n"/>
      <c r="E11" s="69" t="n"/>
      <c r="F11" s="69" t="n"/>
      <c r="G11" s="69" t="n"/>
      <c r="H11" s="68" t="n"/>
      <c r="I11" s="68" t="n"/>
      <c r="J11" s="64">
        <f>IFERROR(DATEDIF(F11,G11,"M"),"")</f>
        <v/>
      </c>
      <c r="K11" s="70" t="n"/>
      <c r="L11" s="76">
        <f>IFERROR(IF(K11="","",K11/12),"")</f>
        <v/>
      </c>
      <c r="M11" s="68" t="n"/>
      <c r="N11" s="79" t="n"/>
      <c r="O11" s="78">
        <f>IFERROR(IF(G11="","",G11-365),"")</f>
        <v/>
      </c>
      <c r="P11" s="68" t="n"/>
    </row>
    <row r="12">
      <c r="A12" s="71" t="n"/>
      <c r="B12" s="71" t="n"/>
      <c r="C12" s="71" t="n"/>
      <c r="D12" s="71" t="n"/>
      <c r="E12" s="72" t="n"/>
      <c r="F12" s="72" t="n"/>
      <c r="G12" s="72" t="n"/>
      <c r="H12" s="71" t="n"/>
      <c r="I12" s="71" t="n"/>
      <c r="J12" s="64">
        <f>IFERROR(DATEDIF(F12,G12,"M"),"")</f>
        <v/>
      </c>
      <c r="K12" s="73" t="n"/>
      <c r="L12" s="76">
        <f>IFERROR(IF(K12="","",K12/12),"")</f>
        <v/>
      </c>
      <c r="M12" s="71" t="n"/>
      <c r="N12" s="80" t="n"/>
      <c r="O12" s="78">
        <f>IFERROR(IF(G12="","",G12-365),"")</f>
        <v/>
      </c>
      <c r="P12" s="71" t="n"/>
    </row>
    <row r="13">
      <c r="A13" s="68" t="n"/>
      <c r="B13" s="68" t="n"/>
      <c r="C13" s="68" t="n"/>
      <c r="D13" s="68" t="n"/>
      <c r="E13" s="69" t="n"/>
      <c r="F13" s="69" t="n"/>
      <c r="G13" s="69" t="n"/>
      <c r="H13" s="68" t="n"/>
      <c r="I13" s="68" t="n"/>
      <c r="J13" s="64">
        <f>IFERROR(DATEDIF(F13,G13,"M"),"")</f>
        <v/>
      </c>
      <c r="K13" s="70" t="n"/>
      <c r="L13" s="76">
        <f>IFERROR(IF(K13="","",K13/12),"")</f>
        <v/>
      </c>
      <c r="M13" s="68" t="n"/>
      <c r="N13" s="79" t="n"/>
      <c r="O13" s="78">
        <f>IFERROR(IF(G13="","",G13-365),"")</f>
        <v/>
      </c>
      <c r="P13" s="68" t="n"/>
    </row>
    <row r="14">
      <c r="A14" s="71" t="n"/>
      <c r="B14" s="71" t="n"/>
      <c r="C14" s="71" t="n"/>
      <c r="D14" s="71" t="n"/>
      <c r="E14" s="72" t="n"/>
      <c r="F14" s="72" t="n"/>
      <c r="G14" s="72" t="n"/>
      <c r="H14" s="71" t="n"/>
      <c r="I14" s="71" t="n"/>
      <c r="J14" s="64">
        <f>IFERROR(DATEDIF(F14,G14,"M"),"")</f>
        <v/>
      </c>
      <c r="K14" s="73" t="n"/>
      <c r="L14" s="76">
        <f>IFERROR(IF(K14="","",K14/12),"")</f>
        <v/>
      </c>
      <c r="M14" s="71" t="n"/>
      <c r="N14" s="80" t="n"/>
      <c r="O14" s="78">
        <f>IFERROR(IF(G14="","",G14-365),"")</f>
        <v/>
      </c>
      <c r="P14" s="71" t="n"/>
    </row>
    <row r="15">
      <c r="A15" s="68" t="n"/>
      <c r="B15" s="68" t="n"/>
      <c r="C15" s="68" t="n"/>
      <c r="D15" s="68" t="n"/>
      <c r="E15" s="69" t="n"/>
      <c r="F15" s="69" t="n"/>
      <c r="G15" s="69" t="n"/>
      <c r="H15" s="68" t="n"/>
      <c r="I15" s="68" t="n"/>
      <c r="J15" s="64">
        <f>IFERROR(DATEDIF(F15,G15,"M"),"")</f>
        <v/>
      </c>
      <c r="K15" s="70" t="n"/>
      <c r="L15" s="76">
        <f>IFERROR(IF(K15="","",K15/12),"")</f>
        <v/>
      </c>
      <c r="M15" s="68" t="n"/>
      <c r="N15" s="79" t="n"/>
      <c r="O15" s="78">
        <f>IFERROR(IF(G15="","",G15-365),"")</f>
        <v/>
      </c>
      <c r="P15" s="68" t="n"/>
    </row>
    <row r="16">
      <c r="A16" s="71" t="n"/>
      <c r="B16" s="71" t="n"/>
      <c r="C16" s="71" t="n"/>
      <c r="D16" s="71" t="n"/>
      <c r="E16" s="72" t="n"/>
      <c r="F16" s="72" t="n"/>
      <c r="G16" s="72" t="n"/>
      <c r="H16" s="71" t="n"/>
      <c r="I16" s="71" t="n"/>
      <c r="J16" s="64">
        <f>IFERROR(DATEDIF(F16,G16,"M"),"")</f>
        <v/>
      </c>
      <c r="K16" s="73" t="n"/>
      <c r="L16" s="76">
        <f>IFERROR(IF(K16="","",K16/12),"")</f>
        <v/>
      </c>
      <c r="M16" s="71" t="n"/>
      <c r="N16" s="80" t="n"/>
      <c r="O16" s="78">
        <f>IFERROR(IF(G16="","",G16-365),"")</f>
        <v/>
      </c>
      <c r="P16" s="71" t="n"/>
    </row>
    <row r="17">
      <c r="A17" s="68" t="n"/>
      <c r="B17" s="68" t="n"/>
      <c r="C17" s="68" t="n"/>
      <c r="D17" s="68" t="n"/>
      <c r="E17" s="69" t="n"/>
      <c r="F17" s="69" t="n"/>
      <c r="G17" s="69" t="n"/>
      <c r="H17" s="68" t="n"/>
      <c r="I17" s="68" t="n"/>
      <c r="J17" s="64">
        <f>IFERROR(DATEDIF(F17,G17,"M"),"")</f>
        <v/>
      </c>
      <c r="K17" s="70" t="n"/>
      <c r="L17" s="76">
        <f>IFERROR(IF(K17="","",K17/12),"")</f>
        <v/>
      </c>
      <c r="M17" s="68" t="n"/>
      <c r="N17" s="79" t="n"/>
      <c r="O17" s="78">
        <f>IFERROR(IF(G17="","",G17-365),"")</f>
        <v/>
      </c>
      <c r="P17" s="68" t="n"/>
    </row>
    <row r="18">
      <c r="A18" s="71" t="n"/>
      <c r="B18" s="71" t="n"/>
      <c r="C18" s="71" t="n"/>
      <c r="D18" s="71" t="n"/>
      <c r="E18" s="72" t="n"/>
      <c r="F18" s="72" t="n"/>
      <c r="G18" s="72" t="n"/>
      <c r="H18" s="71" t="n"/>
      <c r="I18" s="71" t="n"/>
      <c r="J18" s="64">
        <f>IFERROR(DATEDIF(F18,G18,"M"),"")</f>
        <v/>
      </c>
      <c r="K18" s="73" t="n"/>
      <c r="L18" s="76">
        <f>IFERROR(IF(K18="","",K18/12),"")</f>
        <v/>
      </c>
      <c r="M18" s="71" t="n"/>
      <c r="N18" s="80" t="n"/>
      <c r="O18" s="78">
        <f>IFERROR(IF(G18="","",G18-365),"")</f>
        <v/>
      </c>
      <c r="P18" s="71" t="n"/>
    </row>
    <row r="19">
      <c r="A19" s="68" t="n"/>
      <c r="B19" s="68" t="n"/>
      <c r="C19" s="68" t="n"/>
      <c r="D19" s="68" t="n"/>
      <c r="E19" s="69" t="n"/>
      <c r="F19" s="69" t="n"/>
      <c r="G19" s="69" t="n"/>
      <c r="H19" s="68" t="n"/>
      <c r="I19" s="68" t="n"/>
      <c r="J19" s="64">
        <f>IFERROR(DATEDIF(F19,G19,"M"),"")</f>
        <v/>
      </c>
      <c r="K19" s="70" t="n"/>
      <c r="L19" s="76">
        <f>IFERROR(IF(K19="","",K19/12),"")</f>
        <v/>
      </c>
      <c r="M19" s="68" t="n"/>
      <c r="N19" s="79" t="n"/>
      <c r="O19" s="78">
        <f>IFERROR(IF(G19="","",G19-365),"")</f>
        <v/>
      </c>
      <c r="P19" s="68" t="n"/>
    </row>
    <row r="20">
      <c r="A20" s="71" t="n"/>
      <c r="B20" s="71" t="n"/>
      <c r="C20" s="71" t="n"/>
      <c r="D20" s="71" t="n"/>
      <c r="E20" s="72" t="n"/>
      <c r="F20" s="72" t="n"/>
      <c r="G20" s="72" t="n"/>
      <c r="H20" s="71" t="n"/>
      <c r="I20" s="71" t="n"/>
      <c r="J20" s="64">
        <f>IFERROR(DATEDIF(F20,G20,"M"),"")</f>
        <v/>
      </c>
      <c r="K20" s="73" t="n"/>
      <c r="L20" s="76">
        <f>IFERROR(IF(K20="","",K20/12),"")</f>
        <v/>
      </c>
      <c r="M20" s="71" t="n"/>
      <c r="N20" s="80" t="n"/>
      <c r="O20" s="78">
        <f>IFERROR(IF(G20="","",G20-365),"")</f>
        <v/>
      </c>
      <c r="P20" s="71" t="n"/>
    </row>
    <row r="21">
      <c r="A21" s="68" t="n"/>
      <c r="B21" s="68" t="n"/>
      <c r="C21" s="68" t="n"/>
      <c r="D21" s="68" t="n"/>
      <c r="E21" s="69" t="n"/>
      <c r="F21" s="69" t="n"/>
      <c r="G21" s="69" t="n"/>
      <c r="H21" s="68" t="n"/>
      <c r="I21" s="68" t="n"/>
      <c r="J21" s="64">
        <f>IFERROR(DATEDIF(F21,G21,"M"),"")</f>
        <v/>
      </c>
      <c r="K21" s="70" t="n"/>
      <c r="L21" s="76">
        <f>IFERROR(IF(K21="","",K21/12),"")</f>
        <v/>
      </c>
      <c r="M21" s="68" t="n"/>
      <c r="N21" s="79" t="n"/>
      <c r="O21" s="78">
        <f>IFERROR(IF(G21="","",G21-365),"")</f>
        <v/>
      </c>
      <c r="P21" s="68" t="n"/>
    </row>
    <row r="22">
      <c r="A22" s="71" t="n"/>
      <c r="B22" s="71" t="n"/>
      <c r="C22" s="71" t="n"/>
      <c r="D22" s="71" t="n"/>
      <c r="E22" s="72" t="n"/>
      <c r="F22" s="72" t="n"/>
      <c r="G22" s="72" t="n"/>
      <c r="H22" s="71" t="n"/>
      <c r="I22" s="71" t="n"/>
      <c r="J22" s="64">
        <f>IFERROR(DATEDIF(F22,G22,"M"),"")</f>
        <v/>
      </c>
      <c r="K22" s="73" t="n"/>
      <c r="L22" s="76">
        <f>IFERROR(IF(K22="","",K22/12),"")</f>
        <v/>
      </c>
      <c r="M22" s="71" t="n"/>
      <c r="N22" s="80" t="n"/>
      <c r="O22" s="78">
        <f>IFERROR(IF(G22="","",G22-365),"")</f>
        <v/>
      </c>
      <c r="P22" s="71" t="n"/>
    </row>
    <row r="23">
      <c r="A23" s="68" t="n"/>
      <c r="B23" s="68" t="n"/>
      <c r="C23" s="68" t="n"/>
      <c r="D23" s="68" t="n"/>
      <c r="E23" s="69" t="n"/>
      <c r="F23" s="69" t="n"/>
      <c r="G23" s="69" t="n"/>
      <c r="H23" s="68" t="n"/>
      <c r="I23" s="68" t="n"/>
      <c r="J23" s="64">
        <f>IFERROR(DATEDIF(F23,G23,"M"),"")</f>
        <v/>
      </c>
      <c r="K23" s="70" t="n"/>
      <c r="L23" s="76">
        <f>IFERROR(IF(K23="","",K23/12),"")</f>
        <v/>
      </c>
      <c r="M23" s="68" t="n"/>
      <c r="N23" s="79" t="n"/>
      <c r="O23" s="78">
        <f>IFERROR(IF(G23="","",G23-365),"")</f>
        <v/>
      </c>
      <c r="P23" s="68" t="n"/>
    </row>
    <row r="24">
      <c r="A24" s="71" t="n"/>
      <c r="B24" s="71" t="n"/>
      <c r="C24" s="71" t="n"/>
      <c r="D24" s="71" t="n"/>
      <c r="E24" s="72" t="n"/>
      <c r="F24" s="72" t="n"/>
      <c r="G24" s="72" t="n"/>
      <c r="H24" s="71" t="n"/>
      <c r="I24" s="71" t="n"/>
      <c r="J24" s="64">
        <f>IFERROR(DATEDIF(F24,G24,"M"),"")</f>
        <v/>
      </c>
      <c r="K24" s="73" t="n"/>
      <c r="L24" s="76">
        <f>IFERROR(IF(K24="","",K24/12),"")</f>
        <v/>
      </c>
      <c r="M24" s="71" t="n"/>
      <c r="N24" s="80" t="n"/>
      <c r="O24" s="78">
        <f>IFERROR(IF(G24="","",G24-365),"")</f>
        <v/>
      </c>
      <c r="P24" s="71" t="n"/>
    </row>
    <row r="25">
      <c r="A25" s="68" t="n"/>
      <c r="B25" s="68" t="n"/>
      <c r="C25" s="68" t="n"/>
      <c r="D25" s="68" t="n"/>
      <c r="E25" s="69" t="n"/>
      <c r="F25" s="69" t="n"/>
      <c r="G25" s="69" t="n"/>
      <c r="H25" s="68" t="n"/>
      <c r="I25" s="68" t="n"/>
      <c r="J25" s="64">
        <f>IFERROR(DATEDIF(F25,G25,"M"),"")</f>
        <v/>
      </c>
      <c r="K25" s="70" t="n"/>
      <c r="L25" s="76">
        <f>IFERROR(IF(K25="","",K25/12),"")</f>
        <v/>
      </c>
      <c r="M25" s="68" t="n"/>
      <c r="N25" s="79" t="n"/>
      <c r="O25" s="78">
        <f>IFERROR(IF(G25="","",G25-365),"")</f>
        <v/>
      </c>
      <c r="P25" s="68" t="n"/>
    </row>
    <row r="26">
      <c r="A26" s="71" t="n"/>
      <c r="B26" s="71" t="n"/>
      <c r="C26" s="71" t="n"/>
      <c r="D26" s="71" t="n"/>
      <c r="E26" s="72" t="n"/>
      <c r="F26" s="72" t="n"/>
      <c r="G26" s="72" t="n"/>
      <c r="H26" s="71" t="n"/>
      <c r="I26" s="71" t="n"/>
      <c r="J26" s="64">
        <f>IFERROR(DATEDIF(F26,G26,"M"),"")</f>
        <v/>
      </c>
      <c r="K26" s="73" t="n"/>
      <c r="L26" s="76">
        <f>IFERROR(IF(K26="","",K26/12),"")</f>
        <v/>
      </c>
      <c r="M26" s="71" t="n"/>
      <c r="N26" s="80" t="n"/>
      <c r="O26" s="78">
        <f>IFERROR(IF(G26="","",G26-365),"")</f>
        <v/>
      </c>
      <c r="P26" s="71" t="n"/>
    </row>
    <row r="27">
      <c r="A27" s="68" t="n"/>
      <c r="B27" s="68" t="n"/>
      <c r="C27" s="68" t="n"/>
      <c r="D27" s="68" t="n"/>
      <c r="E27" s="69" t="n"/>
      <c r="F27" s="69" t="n"/>
      <c r="G27" s="69" t="n"/>
      <c r="H27" s="68" t="n"/>
      <c r="I27" s="68" t="n"/>
      <c r="J27" s="64">
        <f>IFERROR(DATEDIF(F27,G27,"M"),"")</f>
        <v/>
      </c>
      <c r="K27" s="70" t="n"/>
      <c r="L27" s="76">
        <f>IFERROR(IF(K27="","",K27/12),"")</f>
        <v/>
      </c>
      <c r="M27" s="68" t="n"/>
      <c r="N27" s="79" t="n"/>
      <c r="O27" s="78">
        <f>IFERROR(IF(G27="","",G27-365),"")</f>
        <v/>
      </c>
      <c r="P27" s="68" t="n"/>
    </row>
    <row r="28">
      <c r="A28" s="71" t="n"/>
      <c r="B28" s="71" t="n"/>
      <c r="C28" s="71" t="n"/>
      <c r="D28" s="71" t="n"/>
      <c r="E28" s="72" t="n"/>
      <c r="F28" s="72" t="n"/>
      <c r="G28" s="72" t="n"/>
      <c r="H28" s="71" t="n"/>
      <c r="I28" s="71" t="n"/>
      <c r="J28" s="64">
        <f>IFERROR(DATEDIF(F28,G28,"M"),"")</f>
        <v/>
      </c>
      <c r="K28" s="73" t="n"/>
      <c r="L28" s="76">
        <f>IFERROR(IF(K28="","",K28/12),"")</f>
        <v/>
      </c>
      <c r="M28" s="71" t="n"/>
      <c r="N28" s="80" t="n"/>
      <c r="O28" s="78">
        <f>IFERROR(IF(G28="","",G28-365),"")</f>
        <v/>
      </c>
      <c r="P28" s="71" t="n"/>
    </row>
    <row r="29">
      <c r="A29" s="68" t="n"/>
      <c r="B29" s="68" t="n"/>
      <c r="C29" s="68" t="n"/>
      <c r="D29" s="68" t="n"/>
      <c r="E29" s="69" t="n"/>
      <c r="F29" s="69" t="n"/>
      <c r="G29" s="69" t="n"/>
      <c r="H29" s="68" t="n"/>
      <c r="I29" s="68" t="n"/>
      <c r="J29" s="64">
        <f>IFERROR(DATEDIF(F29,G29,"M"),"")</f>
        <v/>
      </c>
      <c r="K29" s="70" t="n"/>
      <c r="L29" s="76">
        <f>IFERROR(IF(K29="","",K29/12),"")</f>
        <v/>
      </c>
      <c r="M29" s="68" t="n"/>
      <c r="N29" s="79" t="n"/>
      <c r="O29" s="78">
        <f>IFERROR(IF(G29="","",G29-365),"")</f>
        <v/>
      </c>
      <c r="P29" s="68" t="n"/>
    </row>
    <row r="30">
      <c r="A30" s="71" t="n"/>
      <c r="B30" s="71" t="n"/>
      <c r="C30" s="71" t="n"/>
      <c r="D30" s="71" t="n"/>
      <c r="E30" s="72" t="n"/>
      <c r="F30" s="72" t="n"/>
      <c r="G30" s="72" t="n"/>
      <c r="H30" s="71" t="n"/>
      <c r="I30" s="71" t="n"/>
      <c r="J30" s="64">
        <f>IFERROR(DATEDIF(F30,G30,"M"),"")</f>
        <v/>
      </c>
      <c r="K30" s="73" t="n"/>
      <c r="L30" s="76">
        <f>IFERROR(IF(K30="","",K30/12),"")</f>
        <v/>
      </c>
      <c r="M30" s="71" t="n"/>
      <c r="N30" s="80" t="n"/>
      <c r="O30" s="78">
        <f>IFERROR(IF(G30="","",G30-365),"")</f>
        <v/>
      </c>
      <c r="P30" s="71" t="n"/>
    </row>
    <row r="31">
      <c r="A31" s="68" t="n"/>
      <c r="B31" s="68" t="n"/>
      <c r="C31" s="68" t="n"/>
      <c r="D31" s="68" t="n"/>
      <c r="E31" s="69" t="n"/>
      <c r="F31" s="69" t="n"/>
      <c r="G31" s="69" t="n"/>
      <c r="H31" s="68" t="n"/>
      <c r="I31" s="68" t="n"/>
      <c r="J31" s="64">
        <f>IFERROR(DATEDIF(F31,G31,"M"),"")</f>
        <v/>
      </c>
      <c r="K31" s="70" t="n"/>
      <c r="L31" s="76">
        <f>IFERROR(IF(K31="","",K31/12),"")</f>
        <v/>
      </c>
      <c r="M31" s="68" t="n"/>
      <c r="N31" s="79" t="n"/>
      <c r="O31" s="78">
        <f>IFERROR(IF(G31="","",G31-365),"")</f>
        <v/>
      </c>
      <c r="P31" s="68" t="n"/>
    </row>
    <row r="32">
      <c r="A32" s="71" t="n"/>
      <c r="B32" s="71" t="n"/>
      <c r="C32" s="71" t="n"/>
      <c r="D32" s="71" t="n"/>
      <c r="E32" s="72" t="n"/>
      <c r="F32" s="72" t="n"/>
      <c r="G32" s="72" t="n"/>
      <c r="H32" s="71" t="n"/>
      <c r="I32" s="71" t="n"/>
      <c r="J32" s="64">
        <f>IFERROR(DATEDIF(F32,G32,"M"),"")</f>
        <v/>
      </c>
      <c r="K32" s="73" t="n"/>
      <c r="L32" s="76">
        <f>IFERROR(IF(K32="","",K32/12),"")</f>
        <v/>
      </c>
      <c r="M32" s="71" t="n"/>
      <c r="N32" s="80" t="n"/>
      <c r="O32" s="78">
        <f>IFERROR(IF(G32="","",G32-365),"")</f>
        <v/>
      </c>
      <c r="P32" s="71" t="n"/>
    </row>
    <row r="33">
      <c r="A33" s="68" t="n"/>
      <c r="B33" s="68" t="n"/>
      <c r="C33" s="68" t="n"/>
      <c r="D33" s="68" t="n"/>
      <c r="E33" s="69" t="n"/>
      <c r="F33" s="69" t="n"/>
      <c r="G33" s="69" t="n"/>
      <c r="H33" s="68" t="n"/>
      <c r="I33" s="68" t="n"/>
      <c r="J33" s="64">
        <f>IFERROR(DATEDIF(F33,G33,"M"),"")</f>
        <v/>
      </c>
      <c r="K33" s="70" t="n"/>
      <c r="L33" s="76">
        <f>IFERROR(IF(K33="","",K33/12),"")</f>
        <v/>
      </c>
      <c r="M33" s="68" t="n"/>
      <c r="N33" s="79" t="n"/>
      <c r="O33" s="78">
        <f>IFERROR(IF(G33="","",G33-365),"")</f>
        <v/>
      </c>
      <c r="P33" s="68" t="n"/>
    </row>
    <row r="34">
      <c r="A34" s="71" t="n"/>
      <c r="B34" s="71" t="n"/>
      <c r="C34" s="71" t="n"/>
      <c r="D34" s="71" t="n"/>
      <c r="E34" s="72" t="n"/>
      <c r="F34" s="72" t="n"/>
      <c r="G34" s="72" t="n"/>
      <c r="H34" s="71" t="n"/>
      <c r="I34" s="71" t="n"/>
      <c r="J34" s="64">
        <f>IFERROR(DATEDIF(F34,G34,"M"),"")</f>
        <v/>
      </c>
      <c r="K34" s="73" t="n"/>
      <c r="L34" s="76">
        <f>IFERROR(IF(K34="","",K34/12),"")</f>
        <v/>
      </c>
      <c r="M34" s="71" t="n"/>
      <c r="N34" s="80" t="n"/>
      <c r="O34" s="78">
        <f>IFERROR(IF(G34="","",G34-365),"")</f>
        <v/>
      </c>
      <c r="P34" s="71" t="n"/>
    </row>
    <row r="35">
      <c r="A35" s="68" t="n"/>
      <c r="B35" s="68" t="n"/>
      <c r="C35" s="68" t="n"/>
      <c r="D35" s="68" t="n"/>
      <c r="E35" s="69" t="n"/>
      <c r="F35" s="69" t="n"/>
      <c r="G35" s="69" t="n"/>
      <c r="H35" s="68" t="n"/>
      <c r="I35" s="68" t="n"/>
      <c r="J35" s="64">
        <f>IFERROR(DATEDIF(F35,G35,"M"),"")</f>
        <v/>
      </c>
      <c r="K35" s="70" t="n"/>
      <c r="L35" s="76">
        <f>IFERROR(IF(K35="","",K35/12),"")</f>
        <v/>
      </c>
      <c r="M35" s="68" t="n"/>
      <c r="N35" s="79" t="n"/>
      <c r="O35" s="78">
        <f>IFERROR(IF(G35="","",G35-365),"")</f>
        <v/>
      </c>
      <c r="P35" s="68" t="n"/>
    </row>
    <row r="36">
      <c r="A36" s="71" t="n"/>
      <c r="B36" s="71" t="n"/>
      <c r="C36" s="71" t="n"/>
      <c r="D36" s="71" t="n"/>
      <c r="E36" s="72" t="n"/>
      <c r="F36" s="72" t="n"/>
      <c r="G36" s="72" t="n"/>
      <c r="H36" s="71" t="n"/>
      <c r="I36" s="71" t="n"/>
      <c r="J36" s="64">
        <f>IFERROR(DATEDIF(F36,G36,"M"),"")</f>
        <v/>
      </c>
      <c r="K36" s="73" t="n"/>
      <c r="L36" s="76">
        <f>IFERROR(IF(K36="","",K36/12),"")</f>
        <v/>
      </c>
      <c r="M36" s="71" t="n"/>
      <c r="N36" s="80" t="n"/>
      <c r="O36" s="78">
        <f>IFERROR(IF(G36="","",G36-365),"")</f>
        <v/>
      </c>
      <c r="P36" s="71" t="n"/>
    </row>
    <row r="37">
      <c r="A37" s="68" t="n"/>
      <c r="B37" s="68" t="n"/>
      <c r="C37" s="68" t="n"/>
      <c r="D37" s="68" t="n"/>
      <c r="E37" s="69" t="n"/>
      <c r="F37" s="69" t="n"/>
      <c r="G37" s="69" t="n"/>
      <c r="H37" s="68" t="n"/>
      <c r="I37" s="68" t="n"/>
      <c r="J37" s="64">
        <f>IFERROR(DATEDIF(F37,G37,"M"),"")</f>
        <v/>
      </c>
      <c r="K37" s="70" t="n"/>
      <c r="L37" s="76">
        <f>IFERROR(IF(K37="","",K37/12),"")</f>
        <v/>
      </c>
      <c r="M37" s="68" t="n"/>
      <c r="N37" s="79" t="n"/>
      <c r="O37" s="78">
        <f>IFERROR(IF(G37="","",G37-365),"")</f>
        <v/>
      </c>
      <c r="P37" s="68" t="n"/>
    </row>
    <row r="38">
      <c r="A38" s="71" t="n"/>
      <c r="B38" s="71" t="n"/>
      <c r="C38" s="71" t="n"/>
      <c r="D38" s="71" t="n"/>
      <c r="E38" s="72" t="n"/>
      <c r="F38" s="72" t="n"/>
      <c r="G38" s="72" t="n"/>
      <c r="H38" s="71" t="n"/>
      <c r="I38" s="71" t="n"/>
      <c r="J38" s="64">
        <f>IFERROR(DATEDIF(F38,G38,"M"),"")</f>
        <v/>
      </c>
      <c r="K38" s="73" t="n"/>
      <c r="L38" s="76">
        <f>IFERROR(IF(K38="","",K38/12),"")</f>
        <v/>
      </c>
      <c r="M38" s="71" t="n"/>
      <c r="N38" s="80" t="n"/>
      <c r="O38" s="78">
        <f>IFERROR(IF(G38="","",G38-365),"")</f>
        <v/>
      </c>
      <c r="P38" s="71" t="n"/>
    </row>
    <row r="39">
      <c r="A39" s="68" t="n"/>
      <c r="B39" s="68" t="n"/>
      <c r="C39" s="68" t="n"/>
      <c r="D39" s="68" t="n"/>
      <c r="E39" s="69" t="n"/>
      <c r="F39" s="69" t="n"/>
      <c r="G39" s="69" t="n"/>
      <c r="H39" s="68" t="n"/>
      <c r="I39" s="68" t="n"/>
      <c r="J39" s="64">
        <f>IFERROR(DATEDIF(F39,G39,"M"),"")</f>
        <v/>
      </c>
      <c r="K39" s="70" t="n"/>
      <c r="L39" s="76">
        <f>IFERROR(IF(K39="","",K39/12),"")</f>
        <v/>
      </c>
      <c r="M39" s="68" t="n"/>
      <c r="N39" s="79" t="n"/>
      <c r="O39" s="78">
        <f>IFERROR(IF(G39="","",G39-365),"")</f>
        <v/>
      </c>
      <c r="P39" s="68" t="n"/>
    </row>
    <row r="40">
      <c r="A40" s="71" t="n"/>
      <c r="B40" s="71" t="n"/>
      <c r="C40" s="71" t="n"/>
      <c r="D40" s="71" t="n"/>
      <c r="E40" s="72" t="n"/>
      <c r="F40" s="72" t="n"/>
      <c r="G40" s="72" t="n"/>
      <c r="H40" s="71" t="n"/>
      <c r="I40" s="71" t="n"/>
      <c r="J40" s="64">
        <f>IFERROR(DATEDIF(F40,G40,"M"),"")</f>
        <v/>
      </c>
      <c r="K40" s="73" t="n"/>
      <c r="L40" s="76">
        <f>IFERROR(IF(K40="","",K40/12),"")</f>
        <v/>
      </c>
      <c r="M40" s="71" t="n"/>
      <c r="N40" s="80" t="n"/>
      <c r="O40" s="78">
        <f>IFERROR(IF(G40="","",G40-365),"")</f>
        <v/>
      </c>
      <c r="P40" s="71" t="n"/>
    </row>
    <row r="41">
      <c r="A41" s="68" t="n"/>
      <c r="B41" s="68" t="n"/>
      <c r="C41" s="68" t="n"/>
      <c r="D41" s="68" t="n"/>
      <c r="E41" s="69" t="n"/>
      <c r="F41" s="69" t="n"/>
      <c r="G41" s="69" t="n"/>
      <c r="H41" s="68" t="n"/>
      <c r="I41" s="68" t="n"/>
      <c r="J41" s="64">
        <f>IFERROR(DATEDIF(F41,G41,"M"),"")</f>
        <v/>
      </c>
      <c r="K41" s="70" t="n"/>
      <c r="L41" s="76">
        <f>IFERROR(IF(K41="","",K41/12),"")</f>
        <v/>
      </c>
      <c r="M41" s="68" t="n"/>
      <c r="N41" s="79" t="n"/>
      <c r="O41" s="78">
        <f>IFERROR(IF(G41="","",G41-365),"")</f>
        <v/>
      </c>
      <c r="P41" s="68" t="n"/>
    </row>
    <row r="42">
      <c r="A42" s="71" t="n"/>
      <c r="B42" s="71" t="n"/>
      <c r="C42" s="71" t="n"/>
      <c r="D42" s="71" t="n"/>
      <c r="E42" s="72" t="n"/>
      <c r="F42" s="72" t="n"/>
      <c r="G42" s="72" t="n"/>
      <c r="H42" s="71" t="n"/>
      <c r="I42" s="71" t="n"/>
      <c r="J42" s="64">
        <f>IFERROR(DATEDIF(F42,G42,"M"),"")</f>
        <v/>
      </c>
      <c r="K42" s="73" t="n"/>
      <c r="L42" s="76">
        <f>IFERROR(IF(K42="","",K42/12),"")</f>
        <v/>
      </c>
      <c r="M42" s="71" t="n"/>
      <c r="N42" s="80" t="n"/>
      <c r="O42" s="78">
        <f>IFERROR(IF(G42="","",G42-365),"")</f>
        <v/>
      </c>
      <c r="P42" s="71" t="n"/>
    </row>
    <row r="43">
      <c r="A43" s="68" t="n"/>
      <c r="B43" s="68" t="n"/>
      <c r="C43" s="68" t="n"/>
      <c r="D43" s="68" t="n"/>
      <c r="E43" s="69" t="n"/>
      <c r="F43" s="69" t="n"/>
      <c r="G43" s="69" t="n"/>
      <c r="H43" s="68" t="n"/>
      <c r="I43" s="68" t="n"/>
      <c r="J43" s="64">
        <f>IFERROR(DATEDIF(F43,G43,"M"),"")</f>
        <v/>
      </c>
      <c r="K43" s="70" t="n"/>
      <c r="L43" s="76">
        <f>IFERROR(IF(K43="","",K43/12),"")</f>
        <v/>
      </c>
      <c r="M43" s="68" t="n"/>
      <c r="N43" s="79" t="n"/>
      <c r="O43" s="78">
        <f>IFERROR(IF(G43="","",G43-365),"")</f>
        <v/>
      </c>
      <c r="P43" s="68" t="n"/>
    </row>
    <row r="44">
      <c r="A44" s="71" t="n"/>
      <c r="B44" s="71" t="n"/>
      <c r="C44" s="71" t="n"/>
      <c r="D44" s="71" t="n"/>
      <c r="E44" s="72" t="n"/>
      <c r="F44" s="72" t="n"/>
      <c r="G44" s="72" t="n"/>
      <c r="H44" s="71" t="n"/>
      <c r="I44" s="71" t="n"/>
      <c r="J44" s="64">
        <f>IFERROR(DATEDIF(F44,G44,"M"),"")</f>
        <v/>
      </c>
      <c r="K44" s="73" t="n"/>
      <c r="L44" s="76">
        <f>IFERROR(IF(K44="","",K44/12),"")</f>
        <v/>
      </c>
      <c r="M44" s="71" t="n"/>
      <c r="N44" s="80" t="n"/>
      <c r="O44" s="78">
        <f>IFERROR(IF(G44="","",G44-365),"")</f>
        <v/>
      </c>
      <c r="P44" s="71" t="n"/>
    </row>
    <row r="45">
      <c r="A45" s="68" t="n"/>
      <c r="B45" s="68" t="n"/>
      <c r="C45" s="68" t="n"/>
      <c r="D45" s="68" t="n"/>
      <c r="E45" s="69" t="n"/>
      <c r="F45" s="69" t="n"/>
      <c r="G45" s="69" t="n"/>
      <c r="H45" s="68" t="n"/>
      <c r="I45" s="68" t="n"/>
      <c r="J45" s="64">
        <f>IFERROR(DATEDIF(F45,G45,"M"),"")</f>
        <v/>
      </c>
      <c r="K45" s="70" t="n"/>
      <c r="L45" s="76">
        <f>IFERROR(IF(K45="","",K45/12),"")</f>
        <v/>
      </c>
      <c r="M45" s="68" t="n"/>
      <c r="N45" s="79" t="n"/>
      <c r="O45" s="78">
        <f>IFERROR(IF(G45="","",G45-365),"")</f>
        <v/>
      </c>
      <c r="P45" s="68" t="n"/>
    </row>
    <row r="46">
      <c r="A46" s="71" t="n"/>
      <c r="B46" s="71" t="n"/>
      <c r="C46" s="71" t="n"/>
      <c r="D46" s="71" t="n"/>
      <c r="E46" s="72" t="n"/>
      <c r="F46" s="72" t="n"/>
      <c r="G46" s="72" t="n"/>
      <c r="H46" s="71" t="n"/>
      <c r="I46" s="71" t="n"/>
      <c r="J46" s="64">
        <f>IFERROR(DATEDIF(F46,G46,"M"),"")</f>
        <v/>
      </c>
      <c r="K46" s="73" t="n"/>
      <c r="L46" s="76">
        <f>IFERROR(IF(K46="","",K46/12),"")</f>
        <v/>
      </c>
      <c r="M46" s="71" t="n"/>
      <c r="N46" s="80" t="n"/>
      <c r="O46" s="78">
        <f>IFERROR(IF(G46="","",G46-365),"")</f>
        <v/>
      </c>
      <c r="P46" s="71" t="n"/>
    </row>
    <row r="47">
      <c r="A47" s="68" t="n"/>
      <c r="B47" s="68" t="n"/>
      <c r="C47" s="68" t="n"/>
      <c r="D47" s="68" t="n"/>
      <c r="E47" s="69" t="n"/>
      <c r="F47" s="69" t="n"/>
      <c r="G47" s="69" t="n"/>
      <c r="H47" s="68" t="n"/>
      <c r="I47" s="68" t="n"/>
      <c r="J47" s="64">
        <f>IFERROR(DATEDIF(F47,G47,"M"),"")</f>
        <v/>
      </c>
      <c r="K47" s="70" t="n"/>
      <c r="L47" s="76">
        <f>IFERROR(IF(K47="","",K47/12),"")</f>
        <v/>
      </c>
      <c r="M47" s="68" t="n"/>
      <c r="N47" s="79" t="n"/>
      <c r="O47" s="78">
        <f>IFERROR(IF(G47="","",G47-365),"")</f>
        <v/>
      </c>
      <c r="P47" s="68" t="n"/>
    </row>
    <row r="48">
      <c r="A48" s="71" t="n"/>
      <c r="B48" s="71" t="n"/>
      <c r="C48" s="71" t="n"/>
      <c r="D48" s="71" t="n"/>
      <c r="E48" s="72" t="n"/>
      <c r="F48" s="72" t="n"/>
      <c r="G48" s="72" t="n"/>
      <c r="H48" s="71" t="n"/>
      <c r="I48" s="71" t="n"/>
      <c r="J48" s="64">
        <f>IFERROR(DATEDIF(F48,G48,"M"),"")</f>
        <v/>
      </c>
      <c r="K48" s="73" t="n"/>
      <c r="L48" s="76">
        <f>IFERROR(IF(K48="","",K48/12),"")</f>
        <v/>
      </c>
      <c r="M48" s="71" t="n"/>
      <c r="N48" s="80" t="n"/>
      <c r="O48" s="78">
        <f>IFERROR(IF(G48="","",G48-365),"")</f>
        <v/>
      </c>
      <c r="P48" s="71" t="n"/>
    </row>
    <row r="49">
      <c r="A49" s="68" t="n"/>
      <c r="B49" s="68" t="n"/>
      <c r="C49" s="68" t="n"/>
      <c r="D49" s="68" t="n"/>
      <c r="E49" s="69" t="n"/>
      <c r="F49" s="69" t="n"/>
      <c r="G49" s="69" t="n"/>
      <c r="H49" s="68" t="n"/>
      <c r="I49" s="68" t="n"/>
      <c r="J49" s="64">
        <f>IFERROR(DATEDIF(F49,G49,"M"),"")</f>
        <v/>
      </c>
      <c r="K49" s="70" t="n"/>
      <c r="L49" s="76">
        <f>IFERROR(IF(K49="","",K49/12),"")</f>
        <v/>
      </c>
      <c r="M49" s="68" t="n"/>
      <c r="N49" s="79" t="n"/>
      <c r="O49" s="78">
        <f>IFERROR(IF(G49="","",G49-365),"")</f>
        <v/>
      </c>
      <c r="P49" s="68" t="n"/>
    </row>
    <row r="50">
      <c r="A50" s="71" t="n"/>
      <c r="B50" s="71" t="n"/>
      <c r="C50" s="71" t="n"/>
      <c r="D50" s="71" t="n"/>
      <c r="E50" s="72" t="n"/>
      <c r="F50" s="72" t="n"/>
      <c r="G50" s="72" t="n"/>
      <c r="H50" s="71" t="n"/>
      <c r="I50" s="71" t="n"/>
      <c r="J50" s="64">
        <f>IFERROR(DATEDIF(F50,G50,"M"),"")</f>
        <v/>
      </c>
      <c r="K50" s="73" t="n"/>
      <c r="L50" s="76">
        <f>IFERROR(IF(K50="","",K50/12),"")</f>
        <v/>
      </c>
      <c r="M50" s="71" t="n"/>
      <c r="N50" s="80" t="n"/>
      <c r="O50" s="78">
        <f>IFERROR(IF(G50="","",G50-365),"")</f>
        <v/>
      </c>
      <c r="P50" s="71" t="n"/>
    </row>
    <row r="51">
      <c r="A51" s="68" t="n"/>
      <c r="B51" s="68" t="n"/>
      <c r="C51" s="68" t="n"/>
      <c r="D51" s="68" t="n"/>
      <c r="E51" s="69" t="n"/>
      <c r="F51" s="69" t="n"/>
      <c r="G51" s="69" t="n"/>
      <c r="H51" s="68" t="n"/>
      <c r="I51" s="68" t="n"/>
      <c r="J51" s="64">
        <f>IFERROR(DATEDIF(F51,G51,"M"),"")</f>
        <v/>
      </c>
      <c r="K51" s="70" t="n"/>
      <c r="L51" s="76">
        <f>IFERROR(IF(K51="","",K51/12),"")</f>
        <v/>
      </c>
      <c r="M51" s="68" t="n"/>
      <c r="N51" s="79" t="n"/>
      <c r="O51" s="78">
        <f>IFERROR(IF(G51="","",G51-365),"")</f>
        <v/>
      </c>
      <c r="P51" s="68" t="n"/>
    </row>
    <row r="52">
      <c r="A52" s="71" t="n"/>
      <c r="B52" s="71" t="n"/>
      <c r="C52" s="71" t="n"/>
      <c r="D52" s="71" t="n"/>
      <c r="E52" s="72" t="n"/>
      <c r="F52" s="72" t="n"/>
      <c r="G52" s="72" t="n"/>
      <c r="H52" s="71" t="n"/>
      <c r="I52" s="71" t="n"/>
      <c r="J52" s="64">
        <f>IFERROR(DATEDIF(F52,G52,"M"),"")</f>
        <v/>
      </c>
      <c r="K52" s="73" t="n"/>
      <c r="L52" s="76">
        <f>IFERROR(IF(K52="","",K52/12),"")</f>
        <v/>
      </c>
      <c r="M52" s="71" t="n"/>
      <c r="N52" s="80" t="n"/>
      <c r="O52" s="78">
        <f>IFERROR(IF(G52="","",G52-365),"")</f>
        <v/>
      </c>
      <c r="P52" s="71" t="n"/>
    </row>
    <row r="53">
      <c r="A53" s="68" t="n"/>
      <c r="B53" s="68" t="n"/>
      <c r="C53" s="68" t="n"/>
      <c r="D53" s="68" t="n"/>
      <c r="E53" s="69" t="n"/>
      <c r="F53" s="69" t="n"/>
      <c r="G53" s="69" t="n"/>
      <c r="H53" s="68" t="n"/>
      <c r="I53" s="68" t="n"/>
      <c r="J53" s="64">
        <f>IFERROR(DATEDIF(F53,G53,"M"),"")</f>
        <v/>
      </c>
      <c r="K53" s="70" t="n"/>
      <c r="L53" s="76">
        <f>IFERROR(IF(K53="","",K53/12),"")</f>
        <v/>
      </c>
      <c r="M53" s="68" t="n"/>
      <c r="N53" s="79" t="n"/>
      <c r="O53" s="78">
        <f>IFERROR(IF(G53="","",G53-365),"")</f>
        <v/>
      </c>
      <c r="P53" s="68" t="n"/>
    </row>
  </sheetData>
  <mergeCells count="2">
    <mergeCell ref="A1:P1"/>
    <mergeCell ref="A2:P2"/>
  </mergeCells>
  <conditionalFormatting sqref="H4:H53">
    <cfRule type="expression" priority="1" dxfId="3">
      <formula>=H4="Yes"</formula>
    </cfRule>
  </conditionalFormatting>
  <dataValidations count="2">
    <dataValidation sqref="H4:H53" showDropDown="0" showInputMessage="0" showErrorMessage="0" allowBlank="1" type="list">
      <formula1>LOOKUP!$B$28:$B$29</formula1>
    </dataValidation>
    <dataValidation sqref="M4:M53" showDropDown="0" showInputMessage="0" showErrorMessage="0" allowBlank="1" type="list">
      <formula1>LOOKUP!$B$18:$B$22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2026-07-11T23:33:28Z</dcterms:created>
  <dcterms:modified xsi:type="dcterms:W3CDTF">2026-07-11T23:33:28Z</dcterms:modified>
</cp:coreProperties>
</file>